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.8.4\FileServer\26 Staff Development\00 Staff Development Course 2025\Project Management Practices\"/>
    </mc:Choice>
  </mc:AlternateContent>
  <xr:revisionPtr revIDLastSave="0" documentId="8_{541053B4-1E2A-4E8E-B1E7-BDF1C670C873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Course Information" sheetId="1" r:id="rId1"/>
    <sheet name="Attendance_Assessment Report" sheetId="2" r:id="rId2"/>
    <sheet name="Support" sheetId="6" r:id="rId3"/>
  </sheets>
  <definedNames>
    <definedName name="_xlnm.Print_Area" localSheetId="1">'Attendance_Assessment Report'!$A$1:$AC$34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H6" i="2"/>
  <c r="H8" i="2" s="1"/>
  <c r="AD32" i="2"/>
  <c r="AE32" i="2" s="1"/>
  <c r="AD31" i="2"/>
  <c r="AE31" i="2" s="1"/>
  <c r="AD30" i="2"/>
  <c r="AE30" i="2" s="1"/>
  <c r="AD29" i="2"/>
  <c r="AE29" i="2" s="1"/>
  <c r="AD28" i="2"/>
  <c r="AE28" i="2" s="1"/>
  <c r="AD27" i="2"/>
  <c r="AE27" i="2" s="1"/>
  <c r="AD26" i="2"/>
  <c r="AE26" i="2" s="1"/>
  <c r="AD25" i="2"/>
  <c r="AE25" i="2" s="1"/>
  <c r="AD24" i="2"/>
  <c r="AE24" i="2" s="1"/>
  <c r="AD23" i="2"/>
  <c r="AE23" i="2" s="1"/>
  <c r="AD22" i="2"/>
  <c r="AE22" i="2" s="1"/>
  <c r="AD21" i="2"/>
  <c r="AE21" i="2" s="1"/>
  <c r="AD20" i="2"/>
  <c r="AE20" i="2" s="1"/>
  <c r="AD19" i="2"/>
  <c r="AE19" i="2" s="1"/>
  <c r="AD18" i="2"/>
  <c r="AE18" i="2" s="1"/>
  <c r="AD17" i="2"/>
  <c r="AE17" i="2" s="1"/>
  <c r="AD16" i="2"/>
  <c r="AE16" i="2" s="1"/>
  <c r="AD15" i="2"/>
  <c r="AE15" i="2" s="1"/>
  <c r="AD14" i="2"/>
  <c r="AE14" i="2" s="1"/>
  <c r="AD13" i="2"/>
  <c r="AE1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B3" i="2"/>
  <c r="B10" i="2"/>
  <c r="B2" i="2"/>
  <c r="L6" i="2" l="1"/>
  <c r="L7" i="2"/>
  <c r="K7" i="2"/>
  <c r="K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Khine Thiri Win</author>
  </authors>
  <commentList>
    <comment ref="AE11" authorId="0" shapeId="0" xr:uid="{739EC483-8BD9-483B-82EC-2448CE531ED2}">
      <text>
        <r>
          <rPr>
            <b/>
            <sz val="9"/>
            <color indexed="81"/>
            <rFont val="Tahoma"/>
            <family val="2"/>
          </rPr>
          <t>High Ready (4.3–5.0)
Ready (3.6–4.2)
Developing (3.0–3.5)
Needs Coaching (&lt;3.0)</t>
        </r>
      </text>
    </comment>
  </commentList>
</comments>
</file>

<file path=xl/sharedStrings.xml><?xml version="1.0" encoding="utf-8"?>
<sst xmlns="http://schemas.openxmlformats.org/spreadsheetml/2006/main" count="231" uniqueCount="107">
  <si>
    <t>[DAT] Staff Development Internal Improvement Training Program</t>
  </si>
  <si>
    <t>Course No.</t>
  </si>
  <si>
    <t>Course Name</t>
  </si>
  <si>
    <t>Instructor</t>
  </si>
  <si>
    <t>Duration (Hours)</t>
  </si>
  <si>
    <t>No. of Sessions</t>
  </si>
  <si>
    <t>Date</t>
  </si>
  <si>
    <t>Time</t>
  </si>
  <si>
    <t>Channel</t>
  </si>
  <si>
    <t>Participants</t>
  </si>
  <si>
    <t>Course No. 2.</t>
  </si>
  <si>
    <t>Project Management Practices</t>
  </si>
  <si>
    <t>Ko Kaung Wai Phyo</t>
  </si>
  <si>
    <t>15 Hours</t>
  </si>
  <si>
    <t>14th, 15th, 21st, 22nd February and 7th Mar 2026( 5 Days 15 Hrs Course)</t>
  </si>
  <si>
    <t>9:00AM~12:00PM</t>
  </si>
  <si>
    <t>Onsite</t>
  </si>
  <si>
    <t>Course Detail: GL-DAT-PM1-20260211.pdf</t>
  </si>
  <si>
    <t>15 Hours Course Duration</t>
  </si>
  <si>
    <t>Department</t>
  </si>
  <si>
    <t>No. of Members</t>
  </si>
  <si>
    <t>Sessions</t>
  </si>
  <si>
    <t>Attendance</t>
  </si>
  <si>
    <t>Total</t>
  </si>
  <si>
    <t>Completed</t>
  </si>
  <si>
    <t>%</t>
  </si>
  <si>
    <t>28th Jan ~ 15th Mar 2026 
( 3 Hours per Session)</t>
  </si>
  <si>
    <t>Offshore Development Department -1</t>
  </si>
  <si>
    <t>Offshore Development Department -2</t>
  </si>
  <si>
    <t>Please fill Attendance</t>
  </si>
  <si>
    <t>*** Please fill your rating from L to AC columns.</t>
  </si>
  <si>
    <t>U and V are PMO analysis Columns</t>
  </si>
  <si>
    <t>Sr.</t>
  </si>
  <si>
    <t>Participant Name</t>
  </si>
  <si>
    <t>14th</t>
  </si>
  <si>
    <t>15th</t>
  </si>
  <si>
    <t>21st</t>
  </si>
  <si>
    <t>22nd</t>
  </si>
  <si>
    <t>7th</t>
  </si>
  <si>
    <t>Overall PM Readiness &amp; Confidence
(1–5)</t>
  </si>
  <si>
    <t>Before Session Score
(1-5)</t>
  </si>
  <si>
    <t>After Session Score
(1-5)</t>
  </si>
  <si>
    <t>Project Fundamentals &amp; Life Cycle
(1-5)</t>
  </si>
  <si>
    <t>Scope &amp; Requirements Management
(1-5)</t>
  </si>
  <si>
    <t>Change Impact Analysis Capability (1–5)
(1–5)</t>
  </si>
  <si>
    <t>Problem-Solving &amp; Root Cause Analysis 
(1-5)</t>
  </si>
  <si>
    <t>Schedule Planning &amp; Control 
(1-5)</t>
  </si>
  <si>
    <t>Cost &amp; Resource Management
(1–5)</t>
  </si>
  <si>
    <t>Risk, Issue &amp; Change Management
(1–5)</t>
  </si>
  <si>
    <t>Quality Management &amp; Control
(1–5)</t>
  </si>
  <si>
    <t>Agile, Scrum &amp; Hybrid Delivery
(1–5)</t>
  </si>
  <si>
    <t>Stakeholder Communication Management
(1–5)</t>
  </si>
  <si>
    <t>Documentation &amp; Governance Compliance
(1–5)</t>
  </si>
  <si>
    <t>KPI &amp; Productivity Management
(1–5)</t>
  </si>
  <si>
    <t>PM as Business Owner Mindset
(1–5)</t>
  </si>
  <si>
    <t>Cross-Functional Collaboration Effectiveness
(1–5)</t>
  </si>
  <si>
    <t>Any Improvement Comment/Suggestion
(Optional)</t>
  </si>
  <si>
    <t>Average Scoring
(1-5)</t>
  </si>
  <si>
    <t>NGLP PMP Improvement &amp; Readiness Score
(1-5)</t>
  </si>
  <si>
    <t>D1</t>
  </si>
  <si>
    <t>D2</t>
  </si>
  <si>
    <t>D3</t>
  </si>
  <si>
    <t>D4</t>
  </si>
  <si>
    <t>D5</t>
  </si>
  <si>
    <t>Sessions Joined</t>
  </si>
  <si>
    <t>Yin Pa Pa</t>
  </si>
  <si>
    <t>AT</t>
  </si>
  <si>
    <t>Nyein Aye Mon</t>
  </si>
  <si>
    <t>Saung Thinzar Khaing</t>
  </si>
  <si>
    <t>LE</t>
  </si>
  <si>
    <t>Kyipyar Lwin</t>
  </si>
  <si>
    <t>Myo Soe Aung</t>
  </si>
  <si>
    <t>Hsu Myat Htet</t>
  </si>
  <si>
    <t>Zarli Linn Htet</t>
  </si>
  <si>
    <t>Hnin Pwint Phyu</t>
  </si>
  <si>
    <t>Hsu Nandar Htet</t>
  </si>
  <si>
    <t>Nwe Oo Mon</t>
  </si>
  <si>
    <t>YiMon Theint</t>
  </si>
  <si>
    <t>Thazin San</t>
  </si>
  <si>
    <t>Thet Zin Aye</t>
  </si>
  <si>
    <t>Thinzar Aung</t>
  </si>
  <si>
    <t>Su Nandar Htwe</t>
  </si>
  <si>
    <t>Htar Htar Nwe</t>
  </si>
  <si>
    <t>Zay Yar Hein</t>
  </si>
  <si>
    <t>Win Thiri Han</t>
  </si>
  <si>
    <t>May Thazin Oo-2</t>
  </si>
  <si>
    <t>Soe Nandar</t>
  </si>
  <si>
    <t>PMP Feedback Link: https://forms.office.com/r/cyTq7wcK0P</t>
  </si>
  <si>
    <t>Feedback can be submitted between 9th ~ 11th Mar 2026, from 8:00AM to 5:00PM at your convenience.</t>
  </si>
  <si>
    <t>Attend</t>
  </si>
  <si>
    <t>AB</t>
  </si>
  <si>
    <t>Absent</t>
  </si>
  <si>
    <t>LA</t>
  </si>
  <si>
    <t>Late</t>
  </si>
  <si>
    <t>Leave</t>
  </si>
  <si>
    <t>Session</t>
  </si>
  <si>
    <t>S1</t>
  </si>
  <si>
    <t>S2</t>
  </si>
  <si>
    <t>….</t>
  </si>
  <si>
    <t>S34</t>
  </si>
  <si>
    <t>Score</t>
  </si>
  <si>
    <t>Meaning</t>
  </si>
  <si>
    <t>No understanding / cannot apply</t>
  </si>
  <si>
    <t>Basic awareness only</t>
  </si>
  <si>
    <t>Can apply with guidance</t>
  </si>
  <si>
    <t>Can apply independently</t>
  </si>
  <si>
    <t>Can lead and coach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</si>
</sst>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b/>
      <sz val="10.5"/>
      <color rgb="FF0070C0"/>
      <name val="Aptos"/>
      <family val="2"/>
    </font>
    <font>
      <b/>
      <sz val="10.5"/>
      <color theme="1"/>
      <name val="Aptos"/>
      <family val="2"/>
    </font>
    <font>
      <sz val="10.5"/>
      <color theme="1"/>
      <name val="Aptos"/>
      <family val="2"/>
    </font>
    <font>
      <b/>
      <sz val="10.5"/>
      <color rgb="FFC00000"/>
      <name val="Aptos"/>
      <family val="2"/>
    </font>
    <font>
      <sz val="10.5"/>
      <color rgb="FF0070C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0F8FA"/>
        <bgColor indexed="64"/>
      </patternFill>
    </fill>
    <fill>
      <patternFill patternType="solid">
        <fgColor rgb="FFE7F7FD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1" xfId="0" applyBorder="1"/>
    <xf numFmtId="0" fontId="3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0" fillId="2" borderId="0" xfId="0" applyFill="1"/>
    <xf numFmtId="0" fontId="3" fillId="0" borderId="1" xfId="0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7" fillId="0" borderId="0" xfId="0" applyFont="1"/>
    <xf numFmtId="0" fontId="9" fillId="0" borderId="0" xfId="0" applyFont="1"/>
    <xf numFmtId="0" fontId="8" fillId="0" borderId="0" xfId="0" applyFont="1" applyAlignment="1">
      <alignment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8" fillId="6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9" fontId="8" fillId="3" borderId="1" xfId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12" xfId="0" applyFont="1" applyBorder="1"/>
    <xf numFmtId="0" fontId="7" fillId="0" borderId="12" xfId="0" applyFont="1" applyBorder="1"/>
    <xf numFmtId="0" fontId="7" fillId="0" borderId="5" xfId="0" applyFont="1" applyBorder="1"/>
    <xf numFmtId="0" fontId="7" fillId="0" borderId="4" xfId="0" applyFont="1" applyBorder="1"/>
    <xf numFmtId="9" fontId="8" fillId="0" borderId="1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12" xfId="0" applyFont="1" applyBorder="1" applyAlignment="1">
      <alignment horizontal="right"/>
    </xf>
    <xf numFmtId="0" fontId="8" fillId="0" borderId="5" xfId="0" applyFont="1" applyBorder="1"/>
    <xf numFmtId="1" fontId="8" fillId="0" borderId="5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7" fillId="0" borderId="9" xfId="0" applyFont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0F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5</xdr:row>
      <xdr:rowOff>47625</xdr:rowOff>
    </xdr:from>
    <xdr:to>
      <xdr:col>4</xdr:col>
      <xdr:colOff>951819</xdr:colOff>
      <xdr:row>46</xdr:row>
      <xdr:rowOff>160934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AEC613-DBEC-94CD-DF85-C4D7D4CB2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1000125"/>
          <a:ext cx="5447619" cy="79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7"/>
  <sheetViews>
    <sheetView showGridLines="0" workbookViewId="0">
      <selection activeCell="G10" sqref="G10"/>
    </sheetView>
  </sheetViews>
  <sheetFormatPr defaultRowHeight="15"/>
  <cols>
    <col min="1" max="1" width="9.140625" style="2"/>
    <col min="2" max="2" width="12.85546875" style="2" customWidth="1"/>
    <col min="3" max="3" width="35.140625" style="2" bestFit="1" customWidth="1"/>
    <col min="4" max="4" width="19.140625" style="2" customWidth="1"/>
    <col min="5" max="5" width="15.85546875" style="2" bestFit="1" customWidth="1"/>
    <col min="6" max="6" width="15.85546875" style="2" customWidth="1"/>
    <col min="7" max="7" width="52.42578125" style="2" bestFit="1" customWidth="1"/>
    <col min="8" max="8" width="18.42578125" style="2" customWidth="1"/>
    <col min="9" max="9" width="9.28515625" style="2" customWidth="1"/>
    <col min="10" max="10" width="14.28515625" style="2" customWidth="1"/>
    <col min="11" max="16384" width="9.140625" style="2"/>
  </cols>
  <sheetData>
    <row r="2" spans="2:10">
      <c r="B2" s="5" t="s">
        <v>0</v>
      </c>
    </row>
    <row r="4" spans="2:10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</row>
    <row r="5" spans="2:10">
      <c r="B5" s="4" t="s">
        <v>10</v>
      </c>
      <c r="C5" s="4" t="s">
        <v>11</v>
      </c>
      <c r="D5" s="4" t="s">
        <v>12</v>
      </c>
      <c r="E5" s="4" t="s">
        <v>13</v>
      </c>
      <c r="F5" s="7">
        <v>5</v>
      </c>
      <c r="G5" s="4" t="s">
        <v>14</v>
      </c>
      <c r="H5" s="4" t="s">
        <v>15</v>
      </c>
      <c r="I5" s="4" t="s">
        <v>16</v>
      </c>
      <c r="J5" s="4">
        <v>20</v>
      </c>
    </row>
    <row r="7" spans="2:10">
      <c r="F7" s="2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E34"/>
  <sheetViews>
    <sheetView showGridLines="0" tabSelected="1" zoomScale="85" zoomScaleNormal="85" zoomScaleSheetLayoutView="85" workbookViewId="0">
      <pane ySplit="12" topLeftCell="V20" activePane="bottomLeft" state="frozen"/>
      <selection pane="bottomLeft" activeCell="AB20" sqref="AB20"/>
    </sheetView>
  </sheetViews>
  <sheetFormatPr defaultRowHeight="14.25" outlineLevelCol="1"/>
  <cols>
    <col min="1" max="1" width="4" style="12" customWidth="1"/>
    <col min="2" max="2" width="4.140625" style="12" customWidth="1"/>
    <col min="3" max="3" width="22.85546875" style="12" customWidth="1"/>
    <col min="4" max="4" width="23.42578125" style="12" customWidth="1"/>
    <col min="5" max="6" width="5.28515625" style="12" customWidth="1" outlineLevel="1"/>
    <col min="7" max="7" width="4.5703125" style="12" customWidth="1" outlineLevel="1"/>
    <col min="8" max="8" width="5.28515625" style="12" customWidth="1" outlineLevel="1"/>
    <col min="9" max="9" width="4.140625" style="12" customWidth="1" outlineLevel="1"/>
    <col min="10" max="10" width="8" style="12" customWidth="1"/>
    <col min="11" max="11" width="8.85546875" style="13" customWidth="1"/>
    <col min="12" max="12" width="11.5703125" style="12" customWidth="1"/>
    <col min="13" max="13" width="13.5703125" style="12" customWidth="1"/>
    <col min="14" max="14" width="13" style="12" customWidth="1"/>
    <col min="15" max="15" width="15.5703125" style="12" customWidth="1"/>
    <col min="16" max="16" width="15" style="12" customWidth="1"/>
    <col min="17" max="17" width="15.85546875" style="12" customWidth="1"/>
    <col min="18" max="18" width="16.28515625" style="12" customWidth="1"/>
    <col min="19" max="19" width="12" style="12" customWidth="1"/>
    <col min="20" max="20" width="12.85546875" style="12" customWidth="1"/>
    <col min="21" max="21" width="14.42578125" style="12" customWidth="1"/>
    <col min="22" max="22" width="12.7109375" style="12" customWidth="1"/>
    <col min="23" max="23" width="12.140625" style="12" customWidth="1"/>
    <col min="24" max="25" width="16.140625" style="12" customWidth="1"/>
    <col min="26" max="27" width="13.5703125" style="12" customWidth="1"/>
    <col min="28" max="28" width="15.85546875" style="12" customWidth="1"/>
    <col min="29" max="29" width="23.28515625" style="12" customWidth="1"/>
    <col min="30" max="30" width="11.7109375" style="12" customWidth="1"/>
    <col min="31" max="31" width="19" style="12" customWidth="1"/>
    <col min="32" max="16384" width="9.140625" style="12"/>
  </cols>
  <sheetData>
    <row r="2" spans="2:31">
      <c r="B2" s="11" t="str">
        <f>'Course Information'!C5</f>
        <v>Project Management Practices</v>
      </c>
    </row>
    <row r="3" spans="2:31">
      <c r="B3" s="14" t="str">
        <f>'Course Information'!G5&amp;", "&amp;'Course Information'!H5</f>
        <v>14th, 15th, 21st, 22nd February and 7th Mar 2026( 5 Days 15 Hrs Course), 9:00AM~12:00PM</v>
      </c>
      <c r="E3" s="14"/>
      <c r="F3" s="14"/>
      <c r="G3" s="14"/>
      <c r="H3" s="14"/>
      <c r="I3" s="14"/>
    </row>
    <row r="4" spans="2:31" ht="12.75" customHeight="1">
      <c r="B4" s="37"/>
      <c r="C4" s="50" t="s">
        <v>18</v>
      </c>
      <c r="D4" s="56" t="s">
        <v>19</v>
      </c>
      <c r="E4" s="57"/>
      <c r="F4" s="58"/>
      <c r="G4" s="55" t="s">
        <v>20</v>
      </c>
      <c r="H4" s="55"/>
      <c r="I4" s="55"/>
      <c r="J4" s="54" t="s">
        <v>21</v>
      </c>
      <c r="K4" s="54"/>
      <c r="L4" s="36" t="s">
        <v>22</v>
      </c>
    </row>
    <row r="5" spans="2:31" ht="14.25" customHeight="1">
      <c r="B5" s="38"/>
      <c r="C5" s="51"/>
      <c r="D5" s="59"/>
      <c r="E5" s="60"/>
      <c r="F5" s="61"/>
      <c r="G5" s="55"/>
      <c r="H5" s="55"/>
      <c r="I5" s="55"/>
      <c r="J5" s="24" t="s">
        <v>23</v>
      </c>
      <c r="K5" s="24" t="s">
        <v>24</v>
      </c>
      <c r="L5" s="10" t="s">
        <v>25</v>
      </c>
    </row>
    <row r="6" spans="2:31">
      <c r="B6" s="39"/>
      <c r="C6" s="52" t="s">
        <v>26</v>
      </c>
      <c r="D6" s="31"/>
      <c r="E6" s="26"/>
      <c r="F6" s="32" t="s">
        <v>27</v>
      </c>
      <c r="G6" s="29"/>
      <c r="H6" s="26">
        <f>COUNTA(C13:C21)</f>
        <v>9</v>
      </c>
      <c r="I6" s="28"/>
      <c r="J6" s="35">
        <v>5</v>
      </c>
      <c r="K6" s="34">
        <f>AVERAGE(J13:J21)</f>
        <v>4.4444444444444446</v>
      </c>
      <c r="L6" s="30">
        <f>AVERAGE(K13:K21)</f>
        <v>0.88888888888888884</v>
      </c>
    </row>
    <row r="7" spans="2:31">
      <c r="B7" s="40"/>
      <c r="C7" s="53"/>
      <c r="D7" s="25"/>
      <c r="E7" s="27"/>
      <c r="F7" s="32" t="s">
        <v>28</v>
      </c>
      <c r="G7" s="29"/>
      <c r="H7" s="26">
        <f>COUNTA(C22:C32)</f>
        <v>11</v>
      </c>
      <c r="I7" s="28"/>
      <c r="J7" s="35">
        <v>5</v>
      </c>
      <c r="K7" s="34">
        <f>AVERAGE(J22:J32)</f>
        <v>4.4545454545454541</v>
      </c>
      <c r="L7" s="30">
        <f>AVERAGE(K22:K32)</f>
        <v>0.89090909090909098</v>
      </c>
    </row>
    <row r="8" spans="2:31">
      <c r="B8" s="14"/>
      <c r="E8" s="15"/>
      <c r="G8" s="25"/>
      <c r="H8" s="27">
        <f>SUM(H6:H7)</f>
        <v>20</v>
      </c>
      <c r="I8" s="33"/>
    </row>
    <row r="9" spans="2:31">
      <c r="B9" s="14"/>
      <c r="E9" s="15"/>
      <c r="H9" s="14"/>
    </row>
    <row r="10" spans="2:31">
      <c r="B10" s="11" t="str">
        <f>'Course Information'!B2</f>
        <v>[DAT] Staff Development Internal Improvement Training Program</v>
      </c>
      <c r="E10" s="15" t="s">
        <v>29</v>
      </c>
      <c r="L10" s="15" t="s">
        <v>30</v>
      </c>
      <c r="O10" s="15"/>
      <c r="AD10" s="15" t="s">
        <v>31</v>
      </c>
    </row>
    <row r="11" spans="2:31" s="16" customFormat="1" ht="28.5" customHeight="1">
      <c r="B11" s="43" t="s">
        <v>32</v>
      </c>
      <c r="C11" s="43" t="s">
        <v>33</v>
      </c>
      <c r="D11" s="43" t="s">
        <v>19</v>
      </c>
      <c r="E11" s="8" t="s">
        <v>34</v>
      </c>
      <c r="F11" s="8" t="s">
        <v>35</v>
      </c>
      <c r="G11" s="8" t="s">
        <v>36</v>
      </c>
      <c r="H11" s="8" t="s">
        <v>37</v>
      </c>
      <c r="I11" s="8" t="s">
        <v>38</v>
      </c>
      <c r="J11" s="45" t="s">
        <v>22</v>
      </c>
      <c r="K11" s="46"/>
      <c r="L11" s="41" t="s">
        <v>39</v>
      </c>
      <c r="M11" s="41" t="s">
        <v>40</v>
      </c>
      <c r="N11" s="41" t="s">
        <v>41</v>
      </c>
      <c r="O11" s="41" t="s">
        <v>42</v>
      </c>
      <c r="P11" s="41" t="s">
        <v>43</v>
      </c>
      <c r="Q11" s="41" t="s">
        <v>44</v>
      </c>
      <c r="R11" s="41" t="s">
        <v>45</v>
      </c>
      <c r="S11" s="41" t="s">
        <v>46</v>
      </c>
      <c r="T11" s="41" t="s">
        <v>47</v>
      </c>
      <c r="U11" s="41" t="s">
        <v>48</v>
      </c>
      <c r="V11" s="41" t="s">
        <v>49</v>
      </c>
      <c r="W11" s="41" t="s">
        <v>50</v>
      </c>
      <c r="X11" s="41" t="s">
        <v>51</v>
      </c>
      <c r="Y11" s="41" t="s">
        <v>52</v>
      </c>
      <c r="Z11" s="41" t="s">
        <v>53</v>
      </c>
      <c r="AA11" s="41" t="s">
        <v>54</v>
      </c>
      <c r="AB11" s="41" t="s">
        <v>55</v>
      </c>
      <c r="AC11" s="41" t="s">
        <v>56</v>
      </c>
      <c r="AD11" s="47" t="s">
        <v>57</v>
      </c>
      <c r="AE11" s="47" t="s">
        <v>58</v>
      </c>
    </row>
    <row r="12" spans="2:31" s="16" customFormat="1" ht="25.5" customHeight="1">
      <c r="B12" s="44"/>
      <c r="C12" s="44"/>
      <c r="D12" s="44"/>
      <c r="E12" s="9" t="s">
        <v>59</v>
      </c>
      <c r="F12" s="9" t="s">
        <v>60</v>
      </c>
      <c r="G12" s="9" t="s">
        <v>61</v>
      </c>
      <c r="H12" s="9" t="s">
        <v>62</v>
      </c>
      <c r="I12" s="9" t="s">
        <v>63</v>
      </c>
      <c r="J12" s="10" t="s">
        <v>64</v>
      </c>
      <c r="K12" s="10" t="s">
        <v>25</v>
      </c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9"/>
      <c r="AD12" s="48"/>
      <c r="AE12" s="48"/>
    </row>
    <row r="13" spans="2:31" s="16" customFormat="1" ht="36.75" hidden="1" customHeight="1">
      <c r="B13" s="17">
        <v>1</v>
      </c>
      <c r="C13" s="18" t="s">
        <v>65</v>
      </c>
      <c r="D13" s="19" t="s">
        <v>27</v>
      </c>
      <c r="E13" s="20" t="s">
        <v>66</v>
      </c>
      <c r="F13" s="20" t="s">
        <v>66</v>
      </c>
      <c r="G13" s="20" t="s">
        <v>66</v>
      </c>
      <c r="H13" s="20" t="s">
        <v>66</v>
      </c>
      <c r="I13" s="20" t="s">
        <v>66</v>
      </c>
      <c r="J13" s="21">
        <f>COUNTIFS(E13:I13, "AT")</f>
        <v>5</v>
      </c>
      <c r="K13" s="22">
        <f>J13/COUNTA($E$12:$I$12)</f>
        <v>1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3" t="str">
        <f>IF(COUNT(O13:AB13)=0,"",ROUND(AVERAGE(O13:AB13),2))</f>
        <v/>
      </c>
      <c r="AE13" s="23" t="str">
        <f>IF(AD13="","",
   IF(AD13&gt;=4.3,"High Ready (4.3–5.0)",
      IF(AD13&gt;=3.6,"Ready (3.6–4.2) ",
         IF(AD13&gt;=3,"Developing (3.0–3.5)",
            "Needs Coaching (&lt;3.0) "
         )
      )
   )
)</f>
        <v/>
      </c>
    </row>
    <row r="14" spans="2:31" s="16" customFormat="1" ht="36.75" hidden="1" customHeight="1">
      <c r="B14" s="17">
        <v>2</v>
      </c>
      <c r="C14" s="19" t="s">
        <v>67</v>
      </c>
      <c r="D14" s="19" t="s">
        <v>27</v>
      </c>
      <c r="E14" s="20" t="s">
        <v>66</v>
      </c>
      <c r="F14" s="20" t="s">
        <v>66</v>
      </c>
      <c r="G14" s="20" t="s">
        <v>66</v>
      </c>
      <c r="H14" s="20" t="s">
        <v>66</v>
      </c>
      <c r="I14" s="20" t="s">
        <v>66</v>
      </c>
      <c r="J14" s="21">
        <f t="shared" ref="J14:J32" si="0">COUNTIFS(E14:I14, "AT")</f>
        <v>5</v>
      </c>
      <c r="K14" s="22">
        <f t="shared" ref="K14:K32" si="1">J14/COUNTA($E$12:$I$12)</f>
        <v>1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3" t="str">
        <f t="shared" ref="AD14:AD32" si="2">IF(COUNT(O14:AB14)=0,"",ROUND(AVERAGE(O14:AB14),2))</f>
        <v/>
      </c>
      <c r="AE14" s="23" t="str">
        <f t="shared" ref="AE14:AE32" si="3">IF(AD14="","",
   IF(AD14&gt;=4.3,"High Ready (4.3–5.0)",
      IF(AD14&gt;=3.6,"Ready (3.6–4.2) ",
         IF(AD14&gt;=3,"Developing (3.0–3.5)",
            "Needs Coaching (&lt;3.0) "
         )
      )
   )
)</f>
        <v/>
      </c>
    </row>
    <row r="15" spans="2:31" s="16" customFormat="1" ht="36.75" hidden="1" customHeight="1">
      <c r="B15" s="17">
        <v>3</v>
      </c>
      <c r="C15" s="19" t="s">
        <v>68</v>
      </c>
      <c r="D15" s="19" t="s">
        <v>27</v>
      </c>
      <c r="E15" s="20" t="s">
        <v>66</v>
      </c>
      <c r="F15" s="20" t="s">
        <v>66</v>
      </c>
      <c r="G15" s="20" t="s">
        <v>66</v>
      </c>
      <c r="H15" s="20" t="s">
        <v>69</v>
      </c>
      <c r="I15" s="20" t="s">
        <v>66</v>
      </c>
      <c r="J15" s="21">
        <f t="shared" si="0"/>
        <v>4</v>
      </c>
      <c r="K15" s="22">
        <f t="shared" si="1"/>
        <v>0.8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3" t="str">
        <f t="shared" si="2"/>
        <v/>
      </c>
      <c r="AE15" s="23" t="str">
        <f t="shared" si="3"/>
        <v/>
      </c>
    </row>
    <row r="16" spans="2:31" s="16" customFormat="1" ht="36.75" hidden="1" customHeight="1">
      <c r="B16" s="17">
        <v>4</v>
      </c>
      <c r="C16" s="19" t="s">
        <v>70</v>
      </c>
      <c r="D16" s="19" t="s">
        <v>27</v>
      </c>
      <c r="E16" s="20" t="s">
        <v>66</v>
      </c>
      <c r="F16" s="20" t="s">
        <v>66</v>
      </c>
      <c r="G16" s="20" t="s">
        <v>66</v>
      </c>
      <c r="H16" s="20" t="s">
        <v>66</v>
      </c>
      <c r="I16" s="20" t="s">
        <v>66</v>
      </c>
      <c r="J16" s="21">
        <f t="shared" si="0"/>
        <v>5</v>
      </c>
      <c r="K16" s="22">
        <f t="shared" si="1"/>
        <v>1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3" t="str">
        <f t="shared" si="2"/>
        <v/>
      </c>
      <c r="AE16" s="23" t="str">
        <f t="shared" si="3"/>
        <v/>
      </c>
    </row>
    <row r="17" spans="2:31" s="16" customFormat="1" ht="36.75" hidden="1" customHeight="1">
      <c r="B17" s="17">
        <v>5</v>
      </c>
      <c r="C17" s="19" t="s">
        <v>71</v>
      </c>
      <c r="D17" s="19" t="s">
        <v>27</v>
      </c>
      <c r="E17" s="20" t="s">
        <v>66</v>
      </c>
      <c r="F17" s="20" t="s">
        <v>66</v>
      </c>
      <c r="G17" s="20" t="s">
        <v>66</v>
      </c>
      <c r="H17" s="20" t="s">
        <v>66</v>
      </c>
      <c r="I17" s="20" t="s">
        <v>66</v>
      </c>
      <c r="J17" s="21">
        <f t="shared" si="0"/>
        <v>5</v>
      </c>
      <c r="K17" s="22">
        <f t="shared" si="1"/>
        <v>1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3" t="str">
        <f t="shared" si="2"/>
        <v/>
      </c>
      <c r="AE17" s="23" t="str">
        <f t="shared" si="3"/>
        <v/>
      </c>
    </row>
    <row r="18" spans="2:31" s="16" customFormat="1" ht="36.75" hidden="1" customHeight="1">
      <c r="B18" s="17">
        <v>6</v>
      </c>
      <c r="C18" s="19" t="s">
        <v>72</v>
      </c>
      <c r="D18" s="19" t="s">
        <v>27</v>
      </c>
      <c r="E18" s="20" t="s">
        <v>66</v>
      </c>
      <c r="F18" s="20" t="s">
        <v>66</v>
      </c>
      <c r="G18" s="20" t="s">
        <v>66</v>
      </c>
      <c r="H18" s="20" t="s">
        <v>66</v>
      </c>
      <c r="I18" s="20" t="s">
        <v>66</v>
      </c>
      <c r="J18" s="21">
        <f t="shared" si="0"/>
        <v>5</v>
      </c>
      <c r="K18" s="22">
        <f t="shared" si="1"/>
        <v>1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3" t="str">
        <f t="shared" si="2"/>
        <v/>
      </c>
      <c r="AE18" s="23" t="str">
        <f t="shared" si="3"/>
        <v/>
      </c>
    </row>
    <row r="19" spans="2:31" s="16" customFormat="1" ht="36.75" hidden="1" customHeight="1">
      <c r="B19" s="17">
        <v>7</v>
      </c>
      <c r="C19" s="19" t="s">
        <v>73</v>
      </c>
      <c r="D19" s="19" t="s">
        <v>27</v>
      </c>
      <c r="E19" s="20" t="s">
        <v>66</v>
      </c>
      <c r="F19" s="20" t="s">
        <v>66</v>
      </c>
      <c r="G19" s="20" t="s">
        <v>66</v>
      </c>
      <c r="H19" s="20" t="s">
        <v>66</v>
      </c>
      <c r="I19" s="20" t="s">
        <v>69</v>
      </c>
      <c r="J19" s="21">
        <f t="shared" si="0"/>
        <v>4</v>
      </c>
      <c r="K19" s="22">
        <f t="shared" si="1"/>
        <v>0.8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3" t="str">
        <f t="shared" si="2"/>
        <v/>
      </c>
      <c r="AE19" s="23" t="str">
        <f t="shared" si="3"/>
        <v/>
      </c>
    </row>
    <row r="20" spans="2:31" s="16" customFormat="1" ht="36.75" customHeight="1">
      <c r="B20" s="17">
        <v>8</v>
      </c>
      <c r="C20" s="19" t="s">
        <v>74</v>
      </c>
      <c r="D20" s="19" t="s">
        <v>27</v>
      </c>
      <c r="E20" s="20" t="s">
        <v>66</v>
      </c>
      <c r="F20" s="20" t="s">
        <v>66</v>
      </c>
      <c r="G20" s="20" t="s">
        <v>69</v>
      </c>
      <c r="H20" s="20" t="s">
        <v>66</v>
      </c>
      <c r="I20" s="20" t="s">
        <v>66</v>
      </c>
      <c r="J20" s="21">
        <f t="shared" si="0"/>
        <v>4</v>
      </c>
      <c r="K20" s="22">
        <f t="shared" si="1"/>
        <v>0.8</v>
      </c>
      <c r="L20" s="20">
        <v>5</v>
      </c>
      <c r="M20" s="20">
        <v>4</v>
      </c>
      <c r="N20" s="20">
        <v>5</v>
      </c>
      <c r="O20" s="20">
        <v>4</v>
      </c>
      <c r="P20" s="20">
        <v>5</v>
      </c>
      <c r="Q20" s="20">
        <v>4</v>
      </c>
      <c r="R20" s="20">
        <v>4</v>
      </c>
      <c r="S20" s="20">
        <v>4</v>
      </c>
      <c r="T20" s="20">
        <v>4</v>
      </c>
      <c r="U20" s="20">
        <v>4</v>
      </c>
      <c r="V20" s="20">
        <v>4</v>
      </c>
      <c r="W20" s="20">
        <v>4</v>
      </c>
      <c r="X20" s="20">
        <v>4</v>
      </c>
      <c r="Y20" s="20">
        <v>4</v>
      </c>
      <c r="Z20" s="20">
        <v>4</v>
      </c>
      <c r="AA20" s="20">
        <v>5</v>
      </c>
      <c r="AB20" s="20">
        <v>4</v>
      </c>
      <c r="AC20" s="20"/>
      <c r="AD20" s="23">
        <f t="shared" si="2"/>
        <v>4.1399999999999997</v>
      </c>
      <c r="AE20" s="23" t="str">
        <f t="shared" si="3"/>
        <v xml:space="preserve">Ready (3.6–4.2) </v>
      </c>
    </row>
    <row r="21" spans="2:31" s="16" customFormat="1" ht="36.75" hidden="1" customHeight="1">
      <c r="B21" s="17">
        <v>9</v>
      </c>
      <c r="C21" s="19" t="s">
        <v>75</v>
      </c>
      <c r="D21" s="19" t="s">
        <v>27</v>
      </c>
      <c r="E21" s="20" t="s">
        <v>66</v>
      </c>
      <c r="F21" s="20" t="s">
        <v>66</v>
      </c>
      <c r="G21" s="20" t="s">
        <v>66</v>
      </c>
      <c r="H21" s="20" t="s">
        <v>69</v>
      </c>
      <c r="I21" s="20" t="s">
        <v>69</v>
      </c>
      <c r="J21" s="21">
        <f t="shared" si="0"/>
        <v>3</v>
      </c>
      <c r="K21" s="22">
        <f t="shared" si="1"/>
        <v>0.6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3" t="str">
        <f t="shared" si="2"/>
        <v/>
      </c>
      <c r="AE21" s="23" t="str">
        <f t="shared" si="3"/>
        <v/>
      </c>
    </row>
    <row r="22" spans="2:31" s="16" customFormat="1" ht="36.75" hidden="1" customHeight="1">
      <c r="B22" s="17">
        <v>10</v>
      </c>
      <c r="C22" s="19" t="s">
        <v>76</v>
      </c>
      <c r="D22" s="19" t="s">
        <v>28</v>
      </c>
      <c r="E22" s="20" t="s">
        <v>66</v>
      </c>
      <c r="F22" s="20" t="s">
        <v>66</v>
      </c>
      <c r="G22" s="20" t="s">
        <v>69</v>
      </c>
      <c r="H22" s="20" t="s">
        <v>66</v>
      </c>
      <c r="I22" s="20" t="s">
        <v>66</v>
      </c>
      <c r="J22" s="21">
        <f t="shared" si="0"/>
        <v>4</v>
      </c>
      <c r="K22" s="22">
        <f t="shared" si="1"/>
        <v>0.8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3" t="str">
        <f t="shared" si="2"/>
        <v/>
      </c>
      <c r="AE22" s="23" t="str">
        <f t="shared" si="3"/>
        <v/>
      </c>
    </row>
    <row r="23" spans="2:31" s="16" customFormat="1" ht="36.75" hidden="1" customHeight="1">
      <c r="B23" s="17">
        <v>11</v>
      </c>
      <c r="C23" s="19" t="s">
        <v>77</v>
      </c>
      <c r="D23" s="19" t="s">
        <v>28</v>
      </c>
      <c r="E23" s="20" t="s">
        <v>66</v>
      </c>
      <c r="F23" s="20" t="s">
        <v>66</v>
      </c>
      <c r="G23" s="20" t="s">
        <v>66</v>
      </c>
      <c r="H23" s="20" t="s">
        <v>66</v>
      </c>
      <c r="I23" s="20" t="s">
        <v>66</v>
      </c>
      <c r="J23" s="21">
        <f t="shared" si="0"/>
        <v>5</v>
      </c>
      <c r="K23" s="22">
        <f t="shared" si="1"/>
        <v>1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3" t="str">
        <f t="shared" si="2"/>
        <v/>
      </c>
      <c r="AE23" s="23" t="str">
        <f t="shared" si="3"/>
        <v/>
      </c>
    </row>
    <row r="24" spans="2:31" s="16" customFormat="1" ht="36.75" hidden="1" customHeight="1">
      <c r="B24" s="17">
        <v>12</v>
      </c>
      <c r="C24" s="19" t="s">
        <v>78</v>
      </c>
      <c r="D24" s="19" t="s">
        <v>28</v>
      </c>
      <c r="E24" s="20" t="s">
        <v>66</v>
      </c>
      <c r="F24" s="20" t="s">
        <v>69</v>
      </c>
      <c r="G24" s="20" t="s">
        <v>66</v>
      </c>
      <c r="H24" s="20" t="s">
        <v>66</v>
      </c>
      <c r="I24" s="20" t="s">
        <v>66</v>
      </c>
      <c r="J24" s="21">
        <f t="shared" si="0"/>
        <v>4</v>
      </c>
      <c r="K24" s="22">
        <f t="shared" si="1"/>
        <v>0.8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3" t="str">
        <f t="shared" si="2"/>
        <v/>
      </c>
      <c r="AE24" s="23" t="str">
        <f t="shared" si="3"/>
        <v/>
      </c>
    </row>
    <row r="25" spans="2:31" s="16" customFormat="1" ht="36.75" hidden="1" customHeight="1">
      <c r="B25" s="17">
        <v>13</v>
      </c>
      <c r="C25" s="19" t="s">
        <v>79</v>
      </c>
      <c r="D25" s="19" t="s">
        <v>28</v>
      </c>
      <c r="E25" s="20" t="s">
        <v>66</v>
      </c>
      <c r="F25" s="20" t="s">
        <v>66</v>
      </c>
      <c r="G25" s="20" t="s">
        <v>66</v>
      </c>
      <c r="H25" s="20" t="s">
        <v>69</v>
      </c>
      <c r="I25" s="20" t="s">
        <v>66</v>
      </c>
      <c r="J25" s="21">
        <f t="shared" si="0"/>
        <v>4</v>
      </c>
      <c r="K25" s="22">
        <f t="shared" si="1"/>
        <v>0.8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3" t="str">
        <f t="shared" si="2"/>
        <v/>
      </c>
      <c r="AE25" s="23" t="str">
        <f t="shared" si="3"/>
        <v/>
      </c>
    </row>
    <row r="26" spans="2:31" s="16" customFormat="1" ht="36.75" hidden="1" customHeight="1">
      <c r="B26" s="17">
        <v>14</v>
      </c>
      <c r="C26" s="19" t="s">
        <v>80</v>
      </c>
      <c r="D26" s="19" t="s">
        <v>28</v>
      </c>
      <c r="E26" s="20" t="s">
        <v>66</v>
      </c>
      <c r="F26" s="20" t="s">
        <v>66</v>
      </c>
      <c r="G26" s="20" t="s">
        <v>66</v>
      </c>
      <c r="H26" s="20" t="s">
        <v>66</v>
      </c>
      <c r="I26" s="20" t="s">
        <v>66</v>
      </c>
      <c r="J26" s="21">
        <f t="shared" si="0"/>
        <v>5</v>
      </c>
      <c r="K26" s="22">
        <f t="shared" si="1"/>
        <v>1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3" t="str">
        <f t="shared" si="2"/>
        <v/>
      </c>
      <c r="AE26" s="23" t="str">
        <f t="shared" si="3"/>
        <v/>
      </c>
    </row>
    <row r="27" spans="2:31" s="16" customFormat="1" ht="36.75" hidden="1" customHeight="1">
      <c r="B27" s="17">
        <v>15</v>
      </c>
      <c r="C27" s="19" t="s">
        <v>81</v>
      </c>
      <c r="D27" s="19" t="s">
        <v>28</v>
      </c>
      <c r="E27" s="20" t="s">
        <v>66</v>
      </c>
      <c r="F27" s="20" t="s">
        <v>69</v>
      </c>
      <c r="G27" s="20" t="s">
        <v>66</v>
      </c>
      <c r="H27" s="20" t="s">
        <v>66</v>
      </c>
      <c r="I27" s="20" t="s">
        <v>69</v>
      </c>
      <c r="J27" s="21">
        <f t="shared" si="0"/>
        <v>3</v>
      </c>
      <c r="K27" s="22">
        <f t="shared" si="1"/>
        <v>0.6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3" t="str">
        <f t="shared" si="2"/>
        <v/>
      </c>
      <c r="AE27" s="23" t="str">
        <f t="shared" si="3"/>
        <v/>
      </c>
    </row>
    <row r="28" spans="2:31" s="16" customFormat="1" ht="36.75" hidden="1" customHeight="1">
      <c r="B28" s="17">
        <v>16</v>
      </c>
      <c r="C28" s="19" t="s">
        <v>82</v>
      </c>
      <c r="D28" s="19" t="s">
        <v>28</v>
      </c>
      <c r="E28" s="20" t="s">
        <v>66</v>
      </c>
      <c r="F28" s="20" t="s">
        <v>66</v>
      </c>
      <c r="G28" s="20" t="s">
        <v>66</v>
      </c>
      <c r="H28" s="20" t="s">
        <v>66</v>
      </c>
      <c r="I28" s="20" t="s">
        <v>66</v>
      </c>
      <c r="J28" s="21">
        <f t="shared" si="0"/>
        <v>5</v>
      </c>
      <c r="K28" s="22">
        <f t="shared" si="1"/>
        <v>1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3" t="str">
        <f t="shared" si="2"/>
        <v/>
      </c>
      <c r="AE28" s="23" t="str">
        <f t="shared" si="3"/>
        <v/>
      </c>
    </row>
    <row r="29" spans="2:31" s="16" customFormat="1" ht="36.75" hidden="1" customHeight="1">
      <c r="B29" s="17">
        <v>17</v>
      </c>
      <c r="C29" s="19" t="s">
        <v>83</v>
      </c>
      <c r="D29" s="19" t="s">
        <v>28</v>
      </c>
      <c r="E29" s="20" t="s">
        <v>66</v>
      </c>
      <c r="F29" s="20" t="s">
        <v>66</v>
      </c>
      <c r="G29" s="20" t="s">
        <v>66</v>
      </c>
      <c r="H29" s="20" t="s">
        <v>66</v>
      </c>
      <c r="I29" s="20" t="s">
        <v>69</v>
      </c>
      <c r="J29" s="21">
        <f t="shared" si="0"/>
        <v>4</v>
      </c>
      <c r="K29" s="22">
        <f t="shared" si="1"/>
        <v>0.8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3" t="str">
        <f t="shared" si="2"/>
        <v/>
      </c>
      <c r="AE29" s="23" t="str">
        <f t="shared" si="3"/>
        <v/>
      </c>
    </row>
    <row r="30" spans="2:31" s="16" customFormat="1" ht="36.75" hidden="1" customHeight="1">
      <c r="B30" s="17">
        <v>18</v>
      </c>
      <c r="C30" s="19" t="s">
        <v>84</v>
      </c>
      <c r="D30" s="19" t="s">
        <v>28</v>
      </c>
      <c r="E30" s="20" t="s">
        <v>66</v>
      </c>
      <c r="F30" s="20" t="s">
        <v>66</v>
      </c>
      <c r="G30" s="20" t="s">
        <v>66</v>
      </c>
      <c r="H30" s="20" t="s">
        <v>66</v>
      </c>
      <c r="I30" s="20" t="s">
        <v>66</v>
      </c>
      <c r="J30" s="21">
        <f t="shared" si="0"/>
        <v>5</v>
      </c>
      <c r="K30" s="22">
        <f t="shared" si="1"/>
        <v>1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3" t="str">
        <f t="shared" si="2"/>
        <v/>
      </c>
      <c r="AE30" s="23" t="str">
        <f t="shared" si="3"/>
        <v/>
      </c>
    </row>
    <row r="31" spans="2:31" s="16" customFormat="1" ht="36.75" hidden="1" customHeight="1">
      <c r="B31" s="17">
        <v>19</v>
      </c>
      <c r="C31" s="19" t="s">
        <v>85</v>
      </c>
      <c r="D31" s="19" t="s">
        <v>28</v>
      </c>
      <c r="E31" s="20" t="s">
        <v>66</v>
      </c>
      <c r="F31" s="20" t="s">
        <v>66</v>
      </c>
      <c r="G31" s="20" t="s">
        <v>66</v>
      </c>
      <c r="H31" s="20" t="s">
        <v>66</v>
      </c>
      <c r="I31" s="20" t="s">
        <v>66</v>
      </c>
      <c r="J31" s="21">
        <f t="shared" si="0"/>
        <v>5</v>
      </c>
      <c r="K31" s="22">
        <f t="shared" si="1"/>
        <v>1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3" t="str">
        <f t="shared" si="2"/>
        <v/>
      </c>
      <c r="AE31" s="23" t="str">
        <f t="shared" si="3"/>
        <v/>
      </c>
    </row>
    <row r="32" spans="2:31" s="16" customFormat="1" ht="36.75" hidden="1" customHeight="1">
      <c r="B32" s="17">
        <v>20</v>
      </c>
      <c r="C32" s="19" t="s">
        <v>86</v>
      </c>
      <c r="D32" s="19" t="s">
        <v>28</v>
      </c>
      <c r="E32" s="20" t="s">
        <v>66</v>
      </c>
      <c r="F32" s="20" t="s">
        <v>66</v>
      </c>
      <c r="G32" s="20" t="s">
        <v>66</v>
      </c>
      <c r="H32" s="20" t="s">
        <v>66</v>
      </c>
      <c r="I32" s="20" t="s">
        <v>66</v>
      </c>
      <c r="J32" s="21">
        <f t="shared" si="0"/>
        <v>5</v>
      </c>
      <c r="K32" s="22">
        <f t="shared" si="1"/>
        <v>1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3" t="str">
        <f t="shared" si="2"/>
        <v/>
      </c>
      <c r="AE32" s="23" t="str">
        <f t="shared" si="3"/>
        <v/>
      </c>
    </row>
    <row r="33" spans="2:2">
      <c r="B33" s="12" t="s">
        <v>87</v>
      </c>
    </row>
    <row r="34" spans="2:2">
      <c r="B34" s="12" t="s">
        <v>88</v>
      </c>
    </row>
  </sheetData>
  <sortState xmlns:xlrd2="http://schemas.microsoft.com/office/spreadsheetml/2017/richdata2" ref="C13:D28">
    <sortCondition ref="C13:C28"/>
  </sortState>
  <mergeCells count="29">
    <mergeCell ref="C4:C5"/>
    <mergeCell ref="C6:C7"/>
    <mergeCell ref="J4:K4"/>
    <mergeCell ref="G4:I5"/>
    <mergeCell ref="D4:F5"/>
    <mergeCell ref="AE11:AE12"/>
    <mergeCell ref="V11:V12"/>
    <mergeCell ref="U11:U12"/>
    <mergeCell ref="W11:W12"/>
    <mergeCell ref="AB11:AB12"/>
    <mergeCell ref="AD11:AD12"/>
    <mergeCell ref="X11:X12"/>
    <mergeCell ref="Y11:Y12"/>
    <mergeCell ref="AC11:AC12"/>
    <mergeCell ref="AA11:AA12"/>
    <mergeCell ref="Q11:Q12"/>
    <mergeCell ref="M11:M12"/>
    <mergeCell ref="Z11:Z12"/>
    <mergeCell ref="T11:T12"/>
    <mergeCell ref="B11:B12"/>
    <mergeCell ref="C11:C12"/>
    <mergeCell ref="S11:S12"/>
    <mergeCell ref="O11:O12"/>
    <mergeCell ref="J11:K11"/>
    <mergeCell ref="P11:P12"/>
    <mergeCell ref="D11:D12"/>
    <mergeCell ref="R11:R12"/>
    <mergeCell ref="N11:N12"/>
    <mergeCell ref="L11:L12"/>
  </mergeCells>
  <phoneticPr fontId="4" type="noConversion"/>
  <conditionalFormatting sqref="E13:I32">
    <cfRule type="containsText" dxfId="0" priority="1" operator="containsText" text="LE">
      <formula>NOT(ISERROR(SEARCH("LE",E13)))</formula>
    </cfRule>
  </conditionalFormatting>
  <dataValidations count="1">
    <dataValidation type="list" allowBlank="1" showInputMessage="1" showErrorMessage="1" sqref="L13:AB32" xr:uid="{30ADF8E3-3392-4D69-8F4F-B7C933DC7297}">
      <formula1>"1,2,3,4,5"</formula1>
    </dataValidation>
  </dataValidations>
  <pageMargins left="0.5" right="0.5" top="0.5" bottom="0.5" header="0.3" footer="0.3"/>
  <pageSetup paperSize="9" scale="79" orientation="portrait" verticalDpi="0" r:id="rId1"/>
  <ignoredErrors>
    <ignoredError sqref="J13:J32 AE14:AE32 AD13:AD32" emptyCellReference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1DFFD8-F93F-4A27-A6C1-CD8B43166FE5}">
          <x14:formula1>
            <xm:f>Support!$A$2:$A$5</xm:f>
          </x14:formula1>
          <xm:sqref>E13:I32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ED0B-F0B1-4C31-9852-0DCDC6A9882D}">
  <dimension ref="A1:B19"/>
  <sheetViews>
    <sheetView showGridLines="0" workbookViewId="0">
      <selection activeCell="E13" sqref="E13"/>
    </sheetView>
  </sheetViews>
  <sheetFormatPr defaultRowHeight="15"/>
  <cols>
    <col min="1" max="1" width="11.28515625" bestFit="1" customWidth="1"/>
    <col min="2" max="2" width="29.7109375" bestFit="1" customWidth="1"/>
  </cols>
  <sheetData>
    <row r="1" spans="1:2">
      <c r="A1" s="6" t="s">
        <v>22</v>
      </c>
    </row>
    <row r="2" spans="1:2">
      <c r="A2" s="1" t="s">
        <v>66</v>
      </c>
      <c r="B2" s="1" t="s">
        <v>89</v>
      </c>
    </row>
    <row r="3" spans="1:2">
      <c r="A3" s="1" t="s">
        <v>90</v>
      </c>
      <c r="B3" s="1" t="s">
        <v>91</v>
      </c>
    </row>
    <row r="4" spans="1:2">
      <c r="A4" s="1" t="s">
        <v>92</v>
      </c>
      <c r="B4" s="1" t="s">
        <v>93</v>
      </c>
    </row>
    <row r="5" spans="1:2">
      <c r="A5" s="1" t="s">
        <v>69</v>
      </c>
      <c r="B5" s="1" t="s">
        <v>94</v>
      </c>
    </row>
    <row r="7" spans="1:2">
      <c r="A7" s="6" t="s">
        <v>95</v>
      </c>
    </row>
    <row r="8" spans="1:2">
      <c r="A8" s="1" t="s">
        <v>96</v>
      </c>
    </row>
    <row r="9" spans="1:2">
      <c r="A9" s="1" t="s">
        <v>97</v>
      </c>
    </row>
    <row r="10" spans="1:2">
      <c r="A10" s="1" t="s">
        <v>98</v>
      </c>
    </row>
    <row r="11" spans="1:2">
      <c r="A11" s="1" t="s">
        <v>99</v>
      </c>
    </row>
    <row r="14" spans="1:2">
      <c r="A14" s="6" t="s">
        <v>100</v>
      </c>
      <c r="B14" s="6" t="s">
        <v>101</v>
      </c>
    </row>
    <row r="15" spans="1:2">
      <c r="A15" s="1">
        <v>1</v>
      </c>
      <c r="B15" s="1" t="s">
        <v>102</v>
      </c>
    </row>
    <row r="16" spans="1:2">
      <c r="A16" s="1">
        <v>2</v>
      </c>
      <c r="B16" s="1" t="s">
        <v>103</v>
      </c>
    </row>
    <row r="17" spans="1:2">
      <c r="A17" s="1">
        <v>3</v>
      </c>
      <c r="B17" s="1" t="s">
        <v>104</v>
      </c>
    </row>
    <row r="18" spans="1:2">
      <c r="A18" s="1">
        <v>4</v>
      </c>
      <c r="B18" s="1" t="s">
        <v>105</v>
      </c>
    </row>
    <row r="19" spans="1:2">
      <c r="A19" s="1">
        <v>5</v>
      </c>
      <c r="B19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2025-12-04T07:25:46Z</dcterms:created>
  <dcterms:modified xsi:type="dcterms:W3CDTF">2026-03-18T03:50:46Z</dcterms:modified>
  <cp:category/>
  <cp:contentStatus/>
</cp:coreProperties>
</file>