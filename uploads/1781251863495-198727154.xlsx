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2"/>
  <workbookPr/>
  <mc:AlternateContent xmlns:mc="http://schemas.openxmlformats.org/markup-compatibility/2006">
    <mc:Choice Requires="x15">
      <x15ac:absPath xmlns:x15ac="http://schemas.microsoft.com/office/spreadsheetml/2010/11/ac" url="\\10.1.8.4\FileServer\02 ADMIN\02 HR\78 Next Generation Leadership Program\01 Internal Training\04 Business Japanese Speaking\"/>
    </mc:Choice>
  </mc:AlternateContent>
  <xr:revisionPtr revIDLastSave="0" documentId="8_{CDF7D469-2859-452C-B9D1-BA86146AE1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shboard" sheetId="4" r:id="rId1"/>
    <sheet name="CourseDetail" sheetId="2" r:id="rId2"/>
    <sheet name="Attendance" sheetId="1" r:id="rId3"/>
    <sheet name="BJS" sheetId="3" state="hidden" r:id="rId4"/>
  </sheets>
  <definedNames>
    <definedName name="_xlnm._FilterDatabase" localSheetId="3" hidden="1">BJS!$A$11:$L$31</definedName>
    <definedName name="_xlnm._FilterDatabase" localSheetId="0" hidden="1">Dashboard!$A$25:$AD$45</definedName>
    <definedName name="_xlnm._FilterDatabase" hidden="1">#REF!</definedName>
    <definedName name="Dept">#REF!</definedName>
    <definedName name="ds" hidden="1">#REF!</definedName>
    <definedName name="Team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4" l="1"/>
  <c r="B22" i="4"/>
  <c r="B21" i="4"/>
  <c r="B20" i="4"/>
  <c r="B19" i="4"/>
  <c r="B18" i="4"/>
  <c r="B17" i="4"/>
  <c r="B13" i="4"/>
  <c r="I10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B16" i="4"/>
  <c r="B15" i="4"/>
  <c r="B14" i="4"/>
  <c r="B12" i="4"/>
  <c r="AC45" i="4"/>
  <c r="AD45" i="4" s="1"/>
  <c r="AC44" i="4"/>
  <c r="AD44" i="4" s="1"/>
  <c r="AC43" i="4"/>
  <c r="AD43" i="4" s="1"/>
  <c r="AC42" i="4"/>
  <c r="AD42" i="4" s="1"/>
  <c r="AC41" i="4"/>
  <c r="AD41" i="4" s="1"/>
  <c r="AC40" i="4"/>
  <c r="AD40" i="4" s="1"/>
  <c r="AC39" i="4"/>
  <c r="AD39" i="4" s="1"/>
  <c r="AC38" i="4"/>
  <c r="AD38" i="4" s="1"/>
  <c r="AC37" i="4"/>
  <c r="AD37" i="4" s="1"/>
  <c r="AC36" i="4"/>
  <c r="AD36" i="4" s="1"/>
  <c r="AC35" i="4"/>
  <c r="AD35" i="4" s="1"/>
  <c r="AC34" i="4"/>
  <c r="AD34" i="4" s="1"/>
  <c r="AC33" i="4"/>
  <c r="AD33" i="4" s="1"/>
  <c r="AC32" i="4"/>
  <c r="AD32" i="4" s="1"/>
  <c r="AC31" i="4"/>
  <c r="AD31" i="4" s="1"/>
  <c r="AC30" i="4"/>
  <c r="AD30" i="4" s="1"/>
  <c r="AC29" i="4"/>
  <c r="AD29" i="4" s="1"/>
  <c r="AC28" i="4"/>
  <c r="AD28" i="4" s="1"/>
  <c r="AC27" i="4"/>
  <c r="AD27" i="4" s="1"/>
  <c r="AC26" i="4"/>
  <c r="AD26" i="4" s="1"/>
  <c r="L45" i="4" l="1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H45" i="4"/>
  <c r="N45" i="4" s="1"/>
  <c r="H44" i="4"/>
  <c r="M44" i="4" s="1"/>
  <c r="H43" i="4"/>
  <c r="N43" i="4" s="1"/>
  <c r="H42" i="4"/>
  <c r="N42" i="4" s="1"/>
  <c r="H41" i="4"/>
  <c r="M41" i="4" s="1"/>
  <c r="H40" i="4"/>
  <c r="N40" i="4" s="1"/>
  <c r="H39" i="4"/>
  <c r="N39" i="4" s="1"/>
  <c r="H38" i="4"/>
  <c r="M38" i="4" s="1"/>
  <c r="H37" i="4"/>
  <c r="M37" i="4" s="1"/>
  <c r="H36" i="4"/>
  <c r="N36" i="4" s="1"/>
  <c r="H35" i="4"/>
  <c r="N35" i="4" s="1"/>
  <c r="H34" i="4"/>
  <c r="N34" i="4" s="1"/>
  <c r="H33" i="4"/>
  <c r="M33" i="4" s="1"/>
  <c r="H32" i="4"/>
  <c r="N32" i="4" s="1"/>
  <c r="H31" i="4"/>
  <c r="N31" i="4" s="1"/>
  <c r="H30" i="4"/>
  <c r="M30" i="4" s="1"/>
  <c r="H29" i="4"/>
  <c r="N29" i="4" s="1"/>
  <c r="H28" i="4"/>
  <c r="H27" i="4"/>
  <c r="N27" i="4" s="1"/>
  <c r="H26" i="4"/>
  <c r="D8" i="4"/>
  <c r="N41" i="4" l="1"/>
  <c r="G6" i="4"/>
  <c r="H6" i="4"/>
  <c r="I6" i="4"/>
  <c r="I7" i="4"/>
  <c r="H7" i="4"/>
  <c r="G7" i="4"/>
  <c r="N28" i="4"/>
  <c r="N44" i="4"/>
  <c r="N33" i="4"/>
  <c r="N38" i="4"/>
  <c r="M29" i="4"/>
  <c r="M35" i="4"/>
  <c r="N37" i="4"/>
  <c r="M31" i="4"/>
  <c r="M32" i="4"/>
  <c r="M43" i="4"/>
  <c r="M39" i="4"/>
  <c r="N30" i="4"/>
  <c r="M27" i="4"/>
  <c r="M42" i="4"/>
  <c r="M36" i="4"/>
  <c r="M45" i="4"/>
  <c r="M28" i="4"/>
  <c r="M34" i="4"/>
  <c r="M40" i="4"/>
  <c r="N26" i="4"/>
  <c r="M26" i="4"/>
  <c r="I8" i="4" l="1"/>
  <c r="H8" i="4"/>
  <c r="J7" i="4"/>
  <c r="J6" i="4"/>
  <c r="G8" i="4"/>
  <c r="I7" i="1"/>
  <c r="I6" i="1"/>
  <c r="I8" i="1" s="1"/>
  <c r="F6" i="1"/>
  <c r="G6" i="1"/>
  <c r="J8" i="4" l="1"/>
  <c r="L33" i="1"/>
  <c r="C7" i="3"/>
  <c r="C6" i="3"/>
  <c r="C5" i="3"/>
  <c r="C4" i="3"/>
  <c r="C9" i="3" l="1"/>
  <c r="K33" i="1"/>
  <c r="J33" i="1"/>
  <c r="I33" i="1"/>
  <c r="H33" i="1"/>
  <c r="K32" i="1"/>
  <c r="J32" i="1"/>
  <c r="I32" i="1"/>
  <c r="H32" i="1"/>
  <c r="K31" i="1"/>
  <c r="J31" i="1"/>
  <c r="I31" i="1"/>
  <c r="H31" i="1"/>
  <c r="K30" i="1"/>
  <c r="J30" i="1"/>
  <c r="I30" i="1"/>
  <c r="H30" i="1"/>
  <c r="K29" i="1"/>
  <c r="J29" i="1"/>
  <c r="I29" i="1"/>
  <c r="H29" i="1"/>
  <c r="K21" i="1"/>
  <c r="J21" i="1"/>
  <c r="I21" i="1"/>
  <c r="H21" i="1"/>
  <c r="K28" i="1"/>
  <c r="J28" i="1"/>
  <c r="I28" i="1"/>
  <c r="H28" i="1"/>
  <c r="K27" i="1"/>
  <c r="J27" i="1"/>
  <c r="I27" i="1"/>
  <c r="H27" i="1"/>
  <c r="K26" i="1"/>
  <c r="J26" i="1"/>
  <c r="I26" i="1"/>
  <c r="H26" i="1"/>
  <c r="K25" i="1"/>
  <c r="J25" i="1"/>
  <c r="I25" i="1"/>
  <c r="H25" i="1"/>
  <c r="K24" i="1"/>
  <c r="J24" i="1"/>
  <c r="I24" i="1"/>
  <c r="H24" i="1"/>
  <c r="K23" i="1"/>
  <c r="J23" i="1"/>
  <c r="I23" i="1"/>
  <c r="H23" i="1"/>
  <c r="K20" i="1"/>
  <c r="J20" i="1"/>
  <c r="I20" i="1"/>
  <c r="H20" i="1"/>
  <c r="K19" i="1"/>
  <c r="J19" i="1"/>
  <c r="I19" i="1"/>
  <c r="H19" i="1"/>
  <c r="K18" i="1"/>
  <c r="J18" i="1"/>
  <c r="I18" i="1"/>
  <c r="H18" i="1"/>
  <c r="K17" i="1"/>
  <c r="J17" i="1"/>
  <c r="I17" i="1"/>
  <c r="H17" i="1"/>
  <c r="K16" i="1"/>
  <c r="J16" i="1"/>
  <c r="I16" i="1"/>
  <c r="H16" i="1"/>
  <c r="K15" i="1"/>
  <c r="J15" i="1"/>
  <c r="I15" i="1"/>
  <c r="H15" i="1"/>
  <c r="K14" i="1"/>
  <c r="J14" i="1"/>
  <c r="I14" i="1"/>
  <c r="H14" i="1"/>
  <c r="K13" i="1"/>
  <c r="J13" i="1"/>
  <c r="I13" i="1"/>
  <c r="H13" i="1"/>
  <c r="G29" i="1" l="1"/>
  <c r="F29" i="1"/>
  <c r="F27" i="1"/>
  <c r="F32" i="1"/>
  <c r="F31" i="1"/>
  <c r="F30" i="1"/>
  <c r="F21" i="1"/>
  <c r="F28" i="1"/>
  <c r="F33" i="1"/>
  <c r="F13" i="1"/>
  <c r="F14" i="1"/>
  <c r="F15" i="1"/>
  <c r="F16" i="1"/>
  <c r="F17" i="1"/>
  <c r="F18" i="1"/>
  <c r="F19" i="1"/>
  <c r="F20" i="1"/>
  <c r="F23" i="1"/>
  <c r="F24" i="1"/>
  <c r="F25" i="1"/>
  <c r="F26" i="1"/>
  <c r="G25" i="1" l="1"/>
  <c r="G27" i="1"/>
  <c r="G23" i="1"/>
  <c r="G14" i="1"/>
  <c r="G33" i="1"/>
  <c r="G20" i="1"/>
  <c r="G30" i="1"/>
  <c r="G17" i="1"/>
  <c r="G15" i="1"/>
  <c r="G19" i="1"/>
  <c r="G13" i="1"/>
  <c r="G32" i="1"/>
  <c r="G28" i="1"/>
  <c r="G26" i="1"/>
  <c r="G18" i="1"/>
  <c r="G24" i="1"/>
  <c r="G16" i="1"/>
  <c r="G31" i="1"/>
  <c r="G21" i="1"/>
  <c r="H6" i="1" l="1"/>
  <c r="H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Khine Thiri Win</author>
  </authors>
  <commentList>
    <comment ref="AD25" authorId="0" shapeId="0" xr:uid="{415EFA3F-6758-427A-952B-8BB83276079E}">
      <text>
        <r>
          <rPr>
            <b/>
            <sz val="9"/>
            <color indexed="81"/>
            <rFont val="Tahoma"/>
            <family val="2"/>
          </rPr>
          <t>High Ready (4.2–5.0)
Ready (3.5–4.1)
Developing (≤3.4)</t>
        </r>
      </text>
    </comment>
  </commentList>
</comments>
</file>

<file path=xl/sharedStrings.xml><?xml version="1.0" encoding="utf-8"?>
<sst xmlns="http://schemas.openxmlformats.org/spreadsheetml/2006/main" count="999" uniqueCount="274">
  <si>
    <t xml:space="preserve">Course No.4: Business Japanese Speaking Class performance Assessment &amp; Attendance Report </t>
  </si>
  <si>
    <t>Period :  [28th Dec ~ 15th Mar 2026] with 30 Hours-20 Sessions</t>
  </si>
  <si>
    <t xml:space="preserve">By Level  </t>
  </si>
  <si>
    <t>No. of Members</t>
  </si>
  <si>
    <t>Attendance Report By Department</t>
  </si>
  <si>
    <t>&gt;65%~&lt;=100%
Good</t>
  </si>
  <si>
    <t>&gt;50%~ &lt;=65%
Fair</t>
  </si>
  <si>
    <t>&gt;10%~&lt;=50%
Poor</t>
  </si>
  <si>
    <t>TOTAL</t>
  </si>
  <si>
    <t>Group1: N2 &amp; N3</t>
  </si>
  <si>
    <t>Offshore Development Department -1</t>
  </si>
  <si>
    <t>Group2: N4 &amp; N5</t>
  </si>
  <si>
    <t>Offshore Development Department -2</t>
  </si>
  <si>
    <t xml:space="preserve">TOTAL </t>
  </si>
  <si>
    <t>1. Participants Self-Assessment Score</t>
  </si>
  <si>
    <t>Title &amp; Contents</t>
  </si>
  <si>
    <t>Offshore Department -1</t>
  </si>
  <si>
    <t>Offshore Department -2</t>
  </si>
  <si>
    <t>Average Score</t>
  </si>
  <si>
    <t>*** Please fill your rating from P to AB columns.</t>
  </si>
  <si>
    <t>AC and AD are PMO analysis Columns</t>
  </si>
  <si>
    <t>Sr. No.</t>
  </si>
  <si>
    <t>Name</t>
  </si>
  <si>
    <t>Group</t>
  </si>
  <si>
    <t>JLPT Study Level</t>
  </si>
  <si>
    <t>Department</t>
  </si>
  <si>
    <t>Team</t>
  </si>
  <si>
    <t>Attendent %</t>
  </si>
  <si>
    <t>Leave
Days</t>
  </si>
  <si>
    <t>Late
Days</t>
  </si>
  <si>
    <t>Absent
Days</t>
  </si>
  <si>
    <t>Attendent Days</t>
  </si>
  <si>
    <t>Attendance % Range</t>
  </si>
  <si>
    <t>Attendance Status</t>
  </si>
  <si>
    <t>No. of Classes/Timetable</t>
  </si>
  <si>
    <t>Business Conversation Fluency
(1-5)</t>
  </si>
  <si>
    <t>Daily Business Expressions (Ho-Ren-So)
(1–5)</t>
  </si>
  <si>
    <t>Politeness &amp; Keigo Usage (1-5)</t>
  </si>
  <si>
    <t>Listening Comprehension 
(1-5)</t>
  </si>
  <si>
    <t>Communicati Speaking &amp; Role-play
(1–5)</t>
  </si>
  <si>
    <t>Email &amp; Written Communication
(1–5)</t>
  </si>
  <si>
    <t>Vocabulary &amp; Terminology
(1–5)</t>
  </si>
  <si>
    <t>Response &amp; Communication Clarity
(1–5)</t>
  </si>
  <si>
    <t>Understanding Instructions &amp; Tasks
(1–5)</t>
  </si>
  <si>
    <t>Before Session Score
(1-5)</t>
  </si>
  <si>
    <t>After Session Score
(1-5)</t>
  </si>
  <si>
    <t>Recommend next Batch for DAT's Growth
(1-5)</t>
  </si>
  <si>
    <t>Any Improvement Comment/Suggestion
(Optional)</t>
  </si>
  <si>
    <t>Average Scoring
(1-5)</t>
  </si>
  <si>
    <t>NGLP  Japanese Speaking Readiness Score
(1-5)</t>
  </si>
  <si>
    <t>Yin Pa Pa</t>
  </si>
  <si>
    <t>Group1</t>
  </si>
  <si>
    <t>MARK/SMART</t>
  </si>
  <si>
    <t>Sat, Sun 19:00-20:30 (3hrs per week) ==&gt; 
1.5 Hrs per day * 15 Days = 30 Hours Course
28th Jan ~ 15th Mar 2026 
via Online</t>
  </si>
  <si>
    <t>Nyein Aye Mon</t>
  </si>
  <si>
    <t>DBP</t>
  </si>
  <si>
    <t>Nwe Oo Mon</t>
  </si>
  <si>
    <t>WEB</t>
  </si>
  <si>
    <t>YiMon Theint</t>
  </si>
  <si>
    <t>Htar Htar Nwe</t>
  </si>
  <si>
    <t>SONAR-FR</t>
  </si>
  <si>
    <t>Win Thiri Han</t>
  </si>
  <si>
    <t>OSS</t>
  </si>
  <si>
    <t>May Thazin Oo-2</t>
  </si>
  <si>
    <t>KOSMO-Network21</t>
  </si>
  <si>
    <t>Soe Nandar</t>
  </si>
  <si>
    <t>Hsu Nandar Htet</t>
  </si>
  <si>
    <t>FPD</t>
  </si>
  <si>
    <t>Saung Thinzar Khaing</t>
  </si>
  <si>
    <t>Group2</t>
  </si>
  <si>
    <t>Kyipyar Lwin</t>
  </si>
  <si>
    <t>SNR、MF</t>
  </si>
  <si>
    <t>Myo Soe Aung</t>
  </si>
  <si>
    <t>Hsu Myat Htet</t>
  </si>
  <si>
    <t>Zarli Linn Htet</t>
  </si>
  <si>
    <t>Hnin Pwint Phyu</t>
  </si>
  <si>
    <t>Cst_Navi, BT18</t>
  </si>
  <si>
    <t>Thazin San</t>
  </si>
  <si>
    <t>FAIMS-IT</t>
  </si>
  <si>
    <t>Thet Zin Aye</t>
  </si>
  <si>
    <t>Thinzar Aung</t>
  </si>
  <si>
    <t>WB4</t>
  </si>
  <si>
    <t>Su Nandar Htwe</t>
  </si>
  <si>
    <t>Zay Yar Hein</t>
  </si>
  <si>
    <t>BlockChain</t>
  </si>
  <si>
    <r>
      <rPr>
        <b/>
        <sz val="20"/>
        <color rgb="FF000000"/>
        <rFont val="Aptos Narrow"/>
        <family val="2"/>
        <scheme val="minor"/>
      </rPr>
      <t>Business Conversation and Communication  Batch-3
N2-N3 Level</t>
    </r>
    <r>
      <rPr>
        <b/>
        <sz val="20"/>
        <color rgb="FFFF0000"/>
        <rFont val="Aptos Narrow"/>
        <family val="2"/>
        <scheme val="minor"/>
      </rPr>
      <t xml:space="preserve"> 8 </t>
    </r>
    <r>
      <rPr>
        <b/>
        <sz val="20"/>
        <color rgb="FFFF0000"/>
        <rFont val="Aptos Narrow"/>
        <family val="2"/>
      </rPr>
      <t xml:space="preserve">students 
</t>
    </r>
    <r>
      <rPr>
        <b/>
        <sz val="20"/>
        <color rgb="FF000000"/>
        <rFont val="Aptos Narrow"/>
        <family val="2"/>
        <scheme val="minor"/>
      </rPr>
      <t>Sat 19:30-20:30 (MST) ,Sun 19:00-20:30 (MST)  (2hrs per week) (Total:  20 hrs course)</t>
    </r>
  </si>
  <si>
    <t>Sr.</t>
  </si>
  <si>
    <t>Date</t>
  </si>
  <si>
    <t>Sensei</t>
  </si>
  <si>
    <t>Topic (Japanese)</t>
  </si>
  <si>
    <t>Dec 27(Sat)</t>
  </si>
  <si>
    <t xml:space="preserve">Phyu Sin </t>
  </si>
  <si>
    <t>自己紹介＋あいさつ</t>
  </si>
  <si>
    <t>Dec 28(Sun)</t>
  </si>
  <si>
    <t>Yadana</t>
  </si>
  <si>
    <t>ロールプレイ、マナー</t>
  </si>
  <si>
    <t>Jan 10(Sat)</t>
  </si>
  <si>
    <t>わからない日本語を聞く＋表現・やり方を聞く</t>
  </si>
  <si>
    <t>Jan 11(Sun)</t>
  </si>
  <si>
    <t>Jan 17(Sat)</t>
  </si>
  <si>
    <t>依頼＋お詫び</t>
  </si>
  <si>
    <t>Jan 18(Sun)</t>
  </si>
  <si>
    <t>Jan 24(Sat)</t>
  </si>
  <si>
    <t>断り</t>
  </si>
  <si>
    <t>Jan 25(Sun)</t>
  </si>
  <si>
    <t>Jan 31(Sat)</t>
  </si>
  <si>
    <t>敬語</t>
  </si>
  <si>
    <t>Feb 1(Sun)</t>
  </si>
  <si>
    <t>Feb 7(Sat)</t>
  </si>
  <si>
    <t>連絡</t>
  </si>
  <si>
    <t>Feb 8(Sun)</t>
  </si>
  <si>
    <t>Feb 14(Sat)</t>
  </si>
  <si>
    <t>報告する</t>
  </si>
  <si>
    <t>Feb 15(Sun)</t>
  </si>
  <si>
    <t>Feb 21(Sat)</t>
  </si>
  <si>
    <t>訪問</t>
  </si>
  <si>
    <t>Feb 22(Sun)</t>
  </si>
  <si>
    <t>Feb 28(Sat)</t>
  </si>
  <si>
    <t>プレゼンテーションの表現</t>
  </si>
  <si>
    <t>Mar 1(Sun)</t>
  </si>
  <si>
    <t>Mar 7(Sat)</t>
  </si>
  <si>
    <t>最終発表 I</t>
  </si>
  <si>
    <t>Mar 8(Sun)</t>
  </si>
  <si>
    <t>最終発表 II</t>
  </si>
  <si>
    <t>Total: 20 Days</t>
  </si>
  <si>
    <t>[Attendance Record] Batch3-Business Japanese Speaking Class</t>
  </si>
  <si>
    <t>Course No. 4. Business Japanese Speaking Class-30 Hours Couse (Mosarkay Japanese Language Center)</t>
  </si>
  <si>
    <t>30 Hours Course Duration</t>
  </si>
  <si>
    <t>JLPT</t>
  </si>
  <si>
    <t>Sessions</t>
  </si>
  <si>
    <t xml:space="preserve">Attendance </t>
  </si>
  <si>
    <t xml:space="preserve">No. of </t>
  </si>
  <si>
    <t>Start Date :</t>
  </si>
  <si>
    <t>Level</t>
  </si>
  <si>
    <t>Total</t>
  </si>
  <si>
    <t>Completed</t>
  </si>
  <si>
    <t>%</t>
  </si>
  <si>
    <t>Members</t>
  </si>
  <si>
    <t>End Date :</t>
  </si>
  <si>
    <t>28th Jan ~ 15th Mar 2026 
( 3 Hours per Session)</t>
  </si>
  <si>
    <t>N2-N3</t>
  </si>
  <si>
    <t>N4-N5</t>
  </si>
  <si>
    <t>やすみ</t>
  </si>
  <si>
    <t>Replacement</t>
  </si>
  <si>
    <t xml:space="preserve"> % Total Attendance</t>
  </si>
  <si>
    <t xml:space="preserve"> % Completed Attendance</t>
  </si>
  <si>
    <t>Leave Days</t>
  </si>
  <si>
    <t>Late Days</t>
  </si>
  <si>
    <t>Absent Days</t>
  </si>
  <si>
    <t>Attendance Days</t>
  </si>
  <si>
    <t>JLPT/NAT Level</t>
  </si>
  <si>
    <t>Target Certified Level Apr/Jul 2026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</si>
  <si>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</si>
  <si>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</si>
  <si>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</si>
  <si>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</si>
  <si>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</si>
  <si>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</si>
  <si>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</si>
  <si>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</si>
  <si>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</si>
  <si>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</si>
  <si>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</si>
  <si>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</si>
  <si>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</si>
  <si>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</si>
  <si>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</si>
  <si>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</si>
  <si>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</si>
  <si>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</si>
  <si>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</si>
  <si>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</si>
  <si>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</si>
  <si>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</si>
  <si>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Certified</t>
  </si>
  <si>
    <t>Study Level</t>
  </si>
  <si>
    <t>Dec 27
(Sat)</t>
  </si>
  <si>
    <t>Mar 14(Sat)</t>
  </si>
  <si>
    <t>Mar 15(Sun)</t>
  </si>
  <si>
    <t>Group1: N2-N3 Level</t>
  </si>
  <si>
    <t xml:space="preserve"> https://teams.microsoft.com/l/meetup-join/19%3ameeting_ZmFiNmUwOGYtYzY0OC00NjMzLWFlYTctM2JhYjAxNGE4ZjU0%40thread.v2/0?context=%7b%22Tid%22%3a%22a3942a03-8939-492f-8762-ce992d7ab843%22%2c%22Oid%22%3a%22d35173b7-d170-493e-b41d-6bb910d76ef6%22%7d</t>
  </si>
  <si>
    <t>Batch2</t>
  </si>
  <si>
    <t>JLPT N3</t>
  </si>
  <si>
    <t>N3</t>
  </si>
  <si>
    <t>A</t>
  </si>
  <si>
    <t>JLPT N4</t>
  </si>
  <si>
    <t>L</t>
  </si>
  <si>
    <t>Batch1</t>
  </si>
  <si>
    <t>JLPT N2</t>
  </si>
  <si>
    <t>N2</t>
  </si>
  <si>
    <t>Absent</t>
  </si>
  <si>
    <t>Group2: N4-N5 Level</t>
  </si>
  <si>
    <t>https://teams.microsoft.com/l/meetup-join/19%3ameeting_ZmFiNmUwOGYtYzY0OC00NjMzLWFlYTctM2JhYjAxNGE4ZjU0%40thread.v2/0?context=%7b%22Tid%22%3a%22a3942a03-8939-492f-8762-ce992d7ab843%22%2c%22Oid%22%3a%22d35173b7-d170-493e-b41d-6bb910d76ef6%22%7d</t>
  </si>
  <si>
    <t/>
  </si>
  <si>
    <t>N5</t>
  </si>
  <si>
    <t>N4</t>
  </si>
  <si>
    <t>Late</t>
  </si>
  <si>
    <t>Top J Level (A)</t>
  </si>
  <si>
    <t xml:space="preserve">Business Japanese Speaking (2026 January ~ March) </t>
  </si>
  <si>
    <t>Mosarkay Japanese Language School</t>
  </si>
  <si>
    <t>No Level</t>
  </si>
  <si>
    <t>Sr</t>
  </si>
  <si>
    <t>JLPT Certified</t>
  </si>
  <si>
    <t>Curriculum and Schedule File</t>
  </si>
  <si>
    <t>Education</t>
  </si>
  <si>
    <t>Position</t>
  </si>
  <si>
    <t xml:space="preserve">Contact Email </t>
  </si>
  <si>
    <t>Phone Number</t>
  </si>
  <si>
    <t>Mrs</t>
  </si>
  <si>
    <t>Batch3 N3 N2 Level Business Japanese Curriculum.xlsx</t>
  </si>
  <si>
    <t>B.C.Sc (Hons:)</t>
  </si>
  <si>
    <t>Executive Manager</t>
  </si>
  <si>
    <t>Offshore Development Department-1</t>
  </si>
  <si>
    <t>yinpapa@diracetechnology.com</t>
  </si>
  <si>
    <t>09-256149364</t>
  </si>
  <si>
    <t>Ms</t>
  </si>
  <si>
    <t>B.E (IT)</t>
  </si>
  <si>
    <t>Senior Project Manager</t>
  </si>
  <si>
    <t>nyeinayemon@diracetechnology.com</t>
  </si>
  <si>
    <t>09-448046585</t>
  </si>
  <si>
    <t>BA (Eng)</t>
  </si>
  <si>
    <t>Deputy Project Manager</t>
  </si>
  <si>
    <t>Offshore Development Department-2</t>
  </si>
  <si>
    <t>nweoomon@diracetechnology.com</t>
  </si>
  <si>
    <t>09250273083</t>
  </si>
  <si>
    <t>MCSc (Course Work)</t>
  </si>
  <si>
    <t>Senior Project Lead</t>
  </si>
  <si>
    <t>yimontheint@diracetechnology.com</t>
  </si>
  <si>
    <t>09978930568</t>
  </si>
  <si>
    <t>BA (Myanmar)</t>
  </si>
  <si>
    <t>Senior Software Engineer-1</t>
  </si>
  <si>
    <t>htarhtarnwe@diracetechnology.com</t>
  </si>
  <si>
    <t>09797888423</t>
  </si>
  <si>
    <t>BCSc</t>
  </si>
  <si>
    <t>winthirihan@diracetechnology.com</t>
  </si>
  <si>
    <t>09795262472</t>
  </si>
  <si>
    <t>Team Leader</t>
  </si>
  <si>
    <t>maythazinoo2@diracetechnology.com</t>
  </si>
  <si>
    <t>09977377921</t>
  </si>
  <si>
    <t>soenandar@diracetechnology.com</t>
  </si>
  <si>
    <t>09778801528</t>
  </si>
  <si>
    <t>N5 N4 Level Business Japanese Curriculum.docx</t>
  </si>
  <si>
    <t>saungthinzarkhaing@diracetechnology.com</t>
  </si>
  <si>
    <t>09-799862097</t>
  </si>
  <si>
    <t>B.C.Sc</t>
  </si>
  <si>
    <t>Project Lead</t>
  </si>
  <si>
    <t>kyipyarlwin@diracetechnology.com</t>
  </si>
  <si>
    <t>09-453221548</t>
  </si>
  <si>
    <t>Mr</t>
  </si>
  <si>
    <t>myosoeaung@diracetechnology.com</t>
  </si>
  <si>
    <t>09-691896138
09-786307103</t>
  </si>
  <si>
    <t>hsumyathtet@diracetechnology.com</t>
  </si>
  <si>
    <t>09-950212992</t>
  </si>
  <si>
    <t xml:space="preserve">Senior Software Engineer-1 </t>
  </si>
  <si>
    <t>zarlilinnhtet@diracetechnology.com</t>
  </si>
  <si>
    <t>09-978700614</t>
  </si>
  <si>
    <t>Senior Software Engineer-2</t>
  </si>
  <si>
    <t>hninpwintphyu@diracetechnology.com</t>
  </si>
  <si>
    <t>09- 423667396</t>
  </si>
  <si>
    <t>hsunandarhtet@diracetechnology.com</t>
  </si>
  <si>
    <t>09-791692808</t>
  </si>
  <si>
    <t>thazinsan@diracetechnology.com</t>
  </si>
  <si>
    <t>09254323051</t>
  </si>
  <si>
    <t>thetzinaye@diracetechnology.com</t>
  </si>
  <si>
    <t>09458239273</t>
  </si>
  <si>
    <t>MCSc</t>
  </si>
  <si>
    <t>thinzaraung@diracetechnology.com</t>
  </si>
  <si>
    <t>09792733589</t>
  </si>
  <si>
    <t>BCSc (Hons)</t>
  </si>
  <si>
    <t>Project Manager</t>
  </si>
  <si>
    <t>sunandarhtwe@diracetechnology.com</t>
  </si>
  <si>
    <t>09799788223/
095156462</t>
  </si>
  <si>
    <t>zayyarhein@diracetechnology.com</t>
  </si>
  <si>
    <t>09420198016/
09977803756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</si>
</sst>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.0"/>
  </numFmts>
  <fonts count="42">
    <font>
      <sz val="10"/>
      <color rgb="FF000000"/>
      <name val="Times New Roman"/>
      <charset val="134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9"/>
      <color theme="1"/>
      <name val="ＭＳ 明朝"/>
      <charset val="128"/>
    </font>
    <font>
      <sz val="9"/>
      <name val="ＭＳ 明朝"/>
      <charset val="134"/>
    </font>
    <font>
      <b/>
      <sz val="9"/>
      <color theme="1"/>
      <name val="ＭＳ 明朝"/>
      <charset val="134"/>
    </font>
    <font>
      <sz val="9"/>
      <color rgb="FF000000"/>
      <name val="ＭＳ 明朝"/>
      <charset val="134"/>
    </font>
    <font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</font>
    <font>
      <b/>
      <sz val="20"/>
      <color rgb="FF000000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b/>
      <sz val="20"/>
      <color rgb="FFFF0000"/>
      <name val="Aptos Narrow"/>
      <family val="2"/>
    </font>
    <font>
      <sz val="16"/>
      <color rgb="FF000000"/>
      <name val="Aptos Narrow"/>
      <family val="2"/>
    </font>
    <font>
      <u/>
      <sz val="10"/>
      <color theme="10"/>
      <name val="Times New Roman"/>
      <family val="1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sz val="10"/>
      <color rgb="FF000000"/>
      <name val="Aptos Narrow"/>
      <family val="2"/>
      <scheme val="minor"/>
    </font>
    <font>
      <b/>
      <sz val="16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sz val="9"/>
      <color theme="1"/>
      <name val="ＭＳ 明朝"/>
    </font>
    <font>
      <sz val="10"/>
      <color rgb="FF000000"/>
      <name val="Times New Roman"/>
      <family val="1"/>
    </font>
    <font>
      <u/>
      <sz val="10"/>
      <color rgb="FF0070C0"/>
      <name val="Times New Roman"/>
      <family val="1"/>
    </font>
    <font>
      <sz val="10"/>
      <color rgb="FFFF0000"/>
      <name val="Times New Roman"/>
      <family val="1"/>
    </font>
    <font>
      <sz val="10"/>
      <name val="Times New Roman"/>
      <family val="1"/>
    </font>
    <font>
      <b/>
      <sz val="10"/>
      <color rgb="FFC00000"/>
      <name val="Times New Roman"/>
      <family val="1"/>
    </font>
    <font>
      <sz val="9"/>
      <color rgb="FF00B050"/>
      <name val="ＭＳ 明朝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11"/>
      <color theme="1"/>
      <name val="Aptos"/>
      <family val="2"/>
    </font>
    <font>
      <b/>
      <sz val="11"/>
      <color rgb="FFC00000"/>
      <name val="Aptos"/>
      <family val="2"/>
    </font>
    <font>
      <b/>
      <sz val="10"/>
      <color rgb="FF0070C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3" tint="0.89992980742820516"/>
        <bgColor indexed="64"/>
      </patternFill>
    </fill>
    <fill>
      <patternFill patternType="solid">
        <fgColor rgb="FFFCECE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7F7FD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7D3"/>
        <bgColor indexed="64"/>
      </patternFill>
    </fill>
    <fill>
      <patternFill patternType="solid">
        <fgColor rgb="FFF0F8F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DFFEF"/>
        <bgColor indexed="64"/>
      </patternFill>
    </fill>
  </fills>
  <borders count="6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00000"/>
      </left>
      <right/>
      <top style="medium">
        <color rgb="FFC00000"/>
      </top>
      <bottom style="thin">
        <color auto="1"/>
      </bottom>
      <diagonal/>
    </border>
    <border>
      <left style="medium">
        <color rgb="FFC00000"/>
      </left>
      <right style="thin">
        <color auto="1"/>
      </right>
      <top style="thin">
        <color auto="1"/>
      </top>
      <bottom style="medium">
        <color rgb="FFC00000"/>
      </bottom>
      <diagonal/>
    </border>
    <border>
      <left style="medium">
        <color rgb="FFC00000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 tint="4.9989318521683403E-2"/>
      </left>
      <right style="medium">
        <color rgb="FFC00000"/>
      </right>
      <top style="thin">
        <color theme="1" tint="4.9989318521683403E-2"/>
      </top>
      <bottom style="thin">
        <color theme="1" tint="4.9989318521683403E-2"/>
      </bottom>
      <diagonal/>
    </border>
    <border>
      <left style="medium">
        <color rgb="FFC00000"/>
      </left>
      <right style="thin">
        <color theme="1" tint="4.9989318521683403E-2"/>
      </right>
      <top style="thin">
        <color theme="1" tint="4.9989318521683403E-2"/>
      </top>
      <bottom style="medium">
        <color rgb="FFC00000"/>
      </bottom>
      <diagonal/>
    </border>
    <border>
      <left style="thin">
        <color theme="1" tint="4.9989318521683403E-2"/>
      </left>
      <right style="medium">
        <color rgb="FFC00000"/>
      </right>
      <top style="thin">
        <color theme="1" tint="4.9989318521683403E-2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thin">
        <color auto="1"/>
      </bottom>
      <diagonal/>
    </border>
    <border>
      <left style="medium">
        <color rgb="FFC00000"/>
      </left>
      <right/>
      <top style="thin">
        <color theme="1" tint="4.9989318521683403E-2"/>
      </top>
      <bottom style="thin">
        <color auto="1"/>
      </bottom>
      <diagonal/>
    </border>
    <border>
      <left/>
      <right style="medium">
        <color rgb="FFC00000"/>
      </right>
      <top style="thin">
        <color theme="1" tint="4.9989318521683403E-2"/>
      </top>
      <bottom style="thin">
        <color auto="1"/>
      </bottom>
      <diagonal/>
    </border>
    <border>
      <left style="thin">
        <color auto="1"/>
      </left>
      <right style="medium">
        <color rgb="FFC00000"/>
      </right>
      <top style="thin">
        <color auto="1"/>
      </top>
      <bottom style="medium">
        <color rgb="FFC000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/>
      <right/>
      <top/>
      <bottom style="thin">
        <color theme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3" tint="0.79998168889431442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2">
    <xf numFmtId="0" fontId="0" fillId="0" borderId="0"/>
    <xf numFmtId="9" fontId="15" fillId="0" borderId="0" applyFont="0" applyFill="0" applyBorder="0" applyAlignment="0" applyProtection="0"/>
    <xf numFmtId="0" fontId="10" fillId="0" borderId="0"/>
    <xf numFmtId="0" fontId="15" fillId="0" borderId="0"/>
    <xf numFmtId="0" fontId="21" fillId="0" borderId="0" applyNumberFormat="0" applyFill="0" applyBorder="0" applyAlignment="0" applyProtection="0"/>
    <xf numFmtId="0" fontId="2" fillId="0" borderId="0"/>
    <xf numFmtId="0" fontId="24" fillId="0" borderId="0"/>
    <xf numFmtId="0" fontId="26" fillId="0" borderId="0" applyNumberFormat="0" applyFill="0" applyBorder="0" applyAlignment="0" applyProtection="0"/>
    <xf numFmtId="0" fontId="1" fillId="0" borderId="0"/>
    <xf numFmtId="0" fontId="28" fillId="0" borderId="0"/>
    <xf numFmtId="9" fontId="1" fillId="0" borderId="0" applyFont="0" applyFill="0" applyBorder="0" applyAlignment="0" applyProtection="0"/>
    <xf numFmtId="9" fontId="28" fillId="0" borderId="0" applyFont="0" applyFill="0" applyBorder="0" applyAlignment="0" applyProtection="0"/>
  </cellStyleXfs>
  <cellXfs count="230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right" vertical="top"/>
    </xf>
    <xf numFmtId="0" fontId="5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7" fillId="0" borderId="3" xfId="0" applyFont="1" applyBorder="1"/>
    <xf numFmtId="1" fontId="8" fillId="3" borderId="5" xfId="3" applyNumberFormat="1" applyFont="1" applyFill="1" applyBorder="1" applyAlignment="1">
      <alignment horizontal="center" vertical="center" wrapText="1"/>
    </xf>
    <xf numFmtId="0" fontId="9" fillId="3" borderId="6" xfId="0" applyFont="1" applyFill="1" applyBorder="1"/>
    <xf numFmtId="0" fontId="0" fillId="0" borderId="7" xfId="0" applyBorder="1"/>
    <xf numFmtId="0" fontId="10" fillId="0" borderId="0" xfId="2"/>
    <xf numFmtId="0" fontId="12" fillId="0" borderId="2" xfId="2" applyFont="1" applyBorder="1" applyAlignment="1">
      <alignment horizontal="center" vertical="center"/>
    </xf>
    <xf numFmtId="0" fontId="13" fillId="0" borderId="3" xfId="2" applyFont="1" applyBorder="1" applyAlignment="1">
      <alignment vertical="center"/>
    </xf>
    <xf numFmtId="164" fontId="13" fillId="0" borderId="3" xfId="2" applyNumberFormat="1" applyFont="1" applyBorder="1" applyAlignment="1">
      <alignment vertical="center"/>
    </xf>
    <xf numFmtId="0" fontId="14" fillId="0" borderId="3" xfId="2" applyFont="1" applyBorder="1" applyAlignment="1">
      <alignment vertical="center" wrapText="1"/>
    </xf>
    <xf numFmtId="0" fontId="14" fillId="0" borderId="3" xfId="2" applyFont="1" applyBorder="1" applyAlignment="1">
      <alignment vertical="center"/>
    </xf>
    <xf numFmtId="14" fontId="13" fillId="0" borderId="3" xfId="2" applyNumberFormat="1" applyFont="1" applyBorder="1" applyAlignment="1">
      <alignment vertical="center"/>
    </xf>
    <xf numFmtId="0" fontId="13" fillId="4" borderId="3" xfId="2" applyFont="1" applyFill="1" applyBorder="1" applyAlignment="1">
      <alignment vertical="center"/>
    </xf>
    <xf numFmtId="0" fontId="12" fillId="0" borderId="3" xfId="2" applyFont="1" applyBorder="1" applyAlignment="1">
      <alignment horizontal="center" vertical="center"/>
    </xf>
    <xf numFmtId="0" fontId="20" fillId="0" borderId="3" xfId="0" applyFont="1" applyBorder="1"/>
    <xf numFmtId="0" fontId="6" fillId="2" borderId="12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left" vertical="center"/>
    </xf>
    <xf numFmtId="0" fontId="22" fillId="0" borderId="0" xfId="5" applyFont="1" applyAlignment="1">
      <alignment horizontal="center" vertical="center"/>
    </xf>
    <xf numFmtId="0" fontId="23" fillId="0" borderId="0" xfId="5" applyFont="1"/>
    <xf numFmtId="0" fontId="22" fillId="0" borderId="0" xfId="5" applyFont="1" applyAlignment="1">
      <alignment vertical="center"/>
    </xf>
    <xf numFmtId="0" fontId="23" fillId="0" borderId="3" xfId="5" applyFont="1" applyBorder="1" applyAlignment="1">
      <alignment horizontal="center" vertical="center"/>
    </xf>
    <xf numFmtId="0" fontId="25" fillId="0" borderId="0" xfId="5" applyFont="1"/>
    <xf numFmtId="0" fontId="23" fillId="0" borderId="20" xfId="6" applyFont="1" applyBorder="1" applyAlignment="1">
      <alignment horizontal="center" vertical="center" wrapText="1"/>
    </xf>
    <xf numFmtId="0" fontId="23" fillId="0" borderId="8" xfId="6" applyFont="1" applyBorder="1" applyAlignment="1">
      <alignment horizontal="center" vertical="center" wrapText="1"/>
    </xf>
    <xf numFmtId="0" fontId="23" fillId="0" borderId="3" xfId="5" applyFont="1" applyBorder="1" applyAlignment="1">
      <alignment horizontal="left" vertical="center"/>
    </xf>
    <xf numFmtId="0" fontId="26" fillId="0" borderId="3" xfId="7" applyFill="1" applyBorder="1" applyAlignment="1">
      <alignment horizontal="left" vertical="center"/>
    </xf>
    <xf numFmtId="49" fontId="23" fillId="0" borderId="3" xfId="5" applyNumberFormat="1" applyFont="1" applyBorder="1" applyAlignment="1">
      <alignment horizontal="left" vertical="center"/>
    </xf>
    <xf numFmtId="0" fontId="23" fillId="0" borderId="0" xfId="5" applyFont="1" applyAlignment="1">
      <alignment wrapText="1"/>
    </xf>
    <xf numFmtId="0" fontId="23" fillId="0" borderId="22" xfId="6" applyFont="1" applyBorder="1" applyAlignment="1">
      <alignment horizontal="center" vertical="center" wrapText="1"/>
    </xf>
    <xf numFmtId="49" fontId="23" fillId="0" borderId="3" xfId="5" quotePrefix="1" applyNumberFormat="1" applyFont="1" applyBorder="1" applyAlignment="1">
      <alignment horizontal="left" vertical="center"/>
    </xf>
    <xf numFmtId="0" fontId="23" fillId="0" borderId="3" xfId="5" quotePrefix="1" applyFont="1" applyBorder="1" applyAlignment="1">
      <alignment horizontal="left" vertical="center"/>
    </xf>
    <xf numFmtId="0" fontId="23" fillId="0" borderId="3" xfId="5" applyFont="1" applyBorder="1" applyAlignment="1">
      <alignment horizontal="left" vertical="center" wrapText="1"/>
    </xf>
    <xf numFmtId="0" fontId="26" fillId="0" borderId="3" xfId="7" applyFill="1" applyBorder="1" applyAlignment="1">
      <alignment horizontal="left" vertical="center" wrapText="1"/>
    </xf>
    <xf numFmtId="0" fontId="23" fillId="0" borderId="3" xfId="5" quotePrefix="1" applyFont="1" applyBorder="1" applyAlignment="1">
      <alignment horizontal="left" vertical="center" wrapText="1"/>
    </xf>
    <xf numFmtId="0" fontId="23" fillId="0" borderId="0" xfId="5" applyFont="1" applyAlignment="1">
      <alignment horizontal="center" vertical="center" wrapText="1"/>
    </xf>
    <xf numFmtId="0" fontId="23" fillId="0" borderId="11" xfId="6" applyFont="1" applyBorder="1" applyAlignment="1">
      <alignment horizontal="center" vertical="center" wrapText="1"/>
    </xf>
    <xf numFmtId="0" fontId="23" fillId="0" borderId="8" xfId="5" applyFont="1" applyBorder="1" applyAlignment="1">
      <alignment horizontal="center" vertical="center"/>
    </xf>
    <xf numFmtId="0" fontId="26" fillId="0" borderId="3" xfId="7" applyBorder="1" applyAlignment="1">
      <alignment horizontal="left" vertical="center" wrapText="1"/>
    </xf>
    <xf numFmtId="49" fontId="23" fillId="0" borderId="3" xfId="5" quotePrefix="1" applyNumberFormat="1" applyFont="1" applyBorder="1" applyAlignment="1">
      <alignment horizontal="left" vertical="center" wrapText="1"/>
    </xf>
    <xf numFmtId="0" fontId="23" fillId="0" borderId="0" xfId="5" applyFont="1" applyAlignment="1">
      <alignment horizontal="center"/>
    </xf>
    <xf numFmtId="0" fontId="23" fillId="0" borderId="0" xfId="5" applyFont="1" applyAlignment="1">
      <alignment horizontal="center" vertical="center"/>
    </xf>
    <xf numFmtId="0" fontId="23" fillId="0" borderId="0" xfId="5" applyFont="1" applyAlignment="1">
      <alignment horizontal="left"/>
    </xf>
    <xf numFmtId="0" fontId="23" fillId="0" borderId="0" xfId="5" applyFont="1" applyAlignment="1">
      <alignment horizontal="left" wrapText="1"/>
    </xf>
    <xf numFmtId="0" fontId="23" fillId="0" borderId="0" xfId="5" applyFont="1" applyAlignment="1">
      <alignment horizontal="center" wrapText="1"/>
    </xf>
    <xf numFmtId="0" fontId="25" fillId="6" borderId="15" xfId="6" applyFont="1" applyFill="1" applyBorder="1" applyAlignment="1">
      <alignment horizontal="center" vertical="center" wrapText="1"/>
    </xf>
    <xf numFmtId="0" fontId="25" fillId="6" borderId="16" xfId="6" applyFont="1" applyFill="1" applyBorder="1" applyAlignment="1">
      <alignment horizontal="center" vertical="center" wrapText="1"/>
    </xf>
    <xf numFmtId="0" fontId="25" fillId="6" borderId="18" xfId="6" applyFont="1" applyFill="1" applyBorder="1" applyAlignment="1">
      <alignment horizontal="center" vertical="center" wrapText="1"/>
    </xf>
    <xf numFmtId="0" fontId="25" fillId="6" borderId="19" xfId="5" applyFont="1" applyFill="1" applyBorder="1" applyAlignment="1">
      <alignment horizontal="left" vertical="center" wrapText="1"/>
    </xf>
    <xf numFmtId="0" fontId="23" fillId="6" borderId="3" xfId="5" applyFont="1" applyFill="1" applyBorder="1" applyAlignment="1">
      <alignment horizontal="left" vertical="center"/>
    </xf>
    <xf numFmtId="0" fontId="23" fillId="6" borderId="3" xfId="5" applyFont="1" applyFill="1" applyBorder="1" applyAlignment="1">
      <alignment horizontal="center" vertical="center"/>
    </xf>
    <xf numFmtId="0" fontId="27" fillId="0" borderId="3" xfId="5" applyFont="1" applyBorder="1" applyAlignment="1">
      <alignment horizontal="left" vertical="center"/>
    </xf>
    <xf numFmtId="16" fontId="0" fillId="2" borderId="7" xfId="0" applyNumberFormat="1" applyFill="1" applyBorder="1" applyAlignment="1">
      <alignment horizontal="center" vertical="center"/>
    </xf>
    <xf numFmtId="16" fontId="28" fillId="2" borderId="7" xfId="0" applyNumberFormat="1" applyFont="1" applyFill="1" applyBorder="1" applyAlignment="1">
      <alignment horizontal="center" vertical="center" wrapText="1"/>
    </xf>
    <xf numFmtId="16" fontId="0" fillId="2" borderId="7" xfId="0" applyNumberFormat="1" applyFill="1" applyBorder="1" applyAlignment="1">
      <alignment vertical="center"/>
    </xf>
    <xf numFmtId="0" fontId="0" fillId="0" borderId="14" xfId="0" applyBorder="1"/>
    <xf numFmtId="0" fontId="9" fillId="3" borderId="24" xfId="0" applyFont="1" applyFill="1" applyBorder="1"/>
    <xf numFmtId="0" fontId="9" fillId="3" borderId="25" xfId="0" applyFont="1" applyFill="1" applyBorder="1"/>
    <xf numFmtId="0" fontId="9" fillId="3" borderId="26" xfId="0" applyFont="1" applyFill="1" applyBorder="1"/>
    <xf numFmtId="0" fontId="6" fillId="2" borderId="4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29" fillId="2" borderId="12" xfId="4" applyFont="1" applyFill="1" applyBorder="1" applyAlignment="1">
      <alignment horizontal="left" vertical="center"/>
    </xf>
    <xf numFmtId="16" fontId="0" fillId="2" borderId="13" xfId="0" applyNumberFormat="1" applyFill="1" applyBorder="1" applyAlignment="1">
      <alignment vertical="center"/>
    </xf>
    <xf numFmtId="0" fontId="0" fillId="0" borderId="0" xfId="0" applyAlignment="1">
      <alignment vertical="center"/>
    </xf>
    <xf numFmtId="16" fontId="0" fillId="2" borderId="14" xfId="0" applyNumberFormat="1" applyFill="1" applyBorder="1" applyAlignment="1">
      <alignment horizontal="center" vertical="center"/>
    </xf>
    <xf numFmtId="16" fontId="28" fillId="2" borderId="14" xfId="0" applyNumberFormat="1" applyFont="1" applyFill="1" applyBorder="1" applyAlignment="1">
      <alignment horizontal="center" vertical="center" wrapText="1"/>
    </xf>
    <xf numFmtId="1" fontId="8" fillId="3" borderId="30" xfId="3" applyNumberFormat="1" applyFont="1" applyFill="1" applyBorder="1" applyAlignment="1">
      <alignment horizontal="center" vertical="center" wrapText="1"/>
    </xf>
    <xf numFmtId="0" fontId="30" fillId="0" borderId="14" xfId="0" applyFont="1" applyBorder="1"/>
    <xf numFmtId="0" fontId="30" fillId="0" borderId="7" xfId="0" applyFont="1" applyBorder="1"/>
    <xf numFmtId="0" fontId="31" fillId="0" borderId="7" xfId="0" applyFont="1" applyBorder="1"/>
    <xf numFmtId="9" fontId="7" fillId="7" borderId="3" xfId="1" applyFont="1" applyFill="1" applyBorder="1" applyAlignment="1">
      <alignment horizontal="center"/>
    </xf>
    <xf numFmtId="0" fontId="7" fillId="7" borderId="3" xfId="0" applyFont="1" applyFill="1" applyBorder="1"/>
    <xf numFmtId="0" fontId="7" fillId="7" borderId="8" xfId="0" applyFont="1" applyFill="1" applyBorder="1" applyAlignment="1">
      <alignment horizontal="center"/>
    </xf>
    <xf numFmtId="0" fontId="6" fillId="7" borderId="12" xfId="0" applyFont="1" applyFill="1" applyBorder="1" applyAlignment="1">
      <alignment horizontal="center" vertical="center" wrapText="1"/>
    </xf>
    <xf numFmtId="0" fontId="0" fillId="9" borderId="7" xfId="0" applyFill="1" applyBorder="1"/>
    <xf numFmtId="16" fontId="0" fillId="9" borderId="13" xfId="0" applyNumberFormat="1" applyFill="1" applyBorder="1" applyAlignment="1">
      <alignment vertical="center"/>
    </xf>
    <xf numFmtId="0" fontId="32" fillId="0" borderId="7" xfId="0" applyFont="1" applyBorder="1"/>
    <xf numFmtId="9" fontId="5" fillId="0" borderId="0" xfId="0" applyNumberFormat="1" applyFont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5" fillId="0" borderId="3" xfId="0" applyFont="1" applyBorder="1" applyAlignment="1">
      <alignment horizontal="right" vertical="top"/>
    </xf>
    <xf numFmtId="9" fontId="0" fillId="0" borderId="3" xfId="0" applyNumberFormat="1" applyBorder="1" applyAlignment="1">
      <alignment horizontal="center"/>
    </xf>
    <xf numFmtId="9" fontId="4" fillId="0" borderId="3" xfId="0" applyNumberFormat="1" applyFont="1" applyBorder="1" applyAlignment="1">
      <alignment horizontal="center" vertical="top"/>
    </xf>
    <xf numFmtId="0" fontId="5" fillId="10" borderId="1" xfId="0" applyFont="1" applyFill="1" applyBorder="1" applyAlignment="1">
      <alignment horizontal="center" vertical="top"/>
    </xf>
    <xf numFmtId="0" fontId="5" fillId="10" borderId="2" xfId="0" applyFont="1" applyFill="1" applyBorder="1" applyAlignment="1">
      <alignment horizontal="center" vertical="top"/>
    </xf>
    <xf numFmtId="0" fontId="5" fillId="10" borderId="9" xfId="0" applyFont="1" applyFill="1" applyBorder="1" applyAlignment="1">
      <alignment horizontal="center" vertical="top"/>
    </xf>
    <xf numFmtId="0" fontId="5" fillId="10" borderId="3" xfId="0" applyFont="1" applyFill="1" applyBorder="1" applyAlignment="1">
      <alignment horizontal="center" vertical="top"/>
    </xf>
    <xf numFmtId="0" fontId="5" fillId="10" borderId="11" xfId="0" applyFont="1" applyFill="1" applyBorder="1" applyAlignment="1">
      <alignment horizontal="left" vertical="top"/>
    </xf>
    <xf numFmtId="0" fontId="5" fillId="10" borderId="12" xfId="0" applyFont="1" applyFill="1" applyBorder="1" applyAlignment="1">
      <alignment horizontal="center" vertical="top"/>
    </xf>
    <xf numFmtId="9" fontId="5" fillId="10" borderId="9" xfId="0" applyNumberFormat="1" applyFont="1" applyFill="1" applyBorder="1" applyAlignment="1">
      <alignment horizontal="right" vertical="top"/>
    </xf>
    <xf numFmtId="0" fontId="33" fillId="0" borderId="3" xfId="5" applyFont="1" applyBorder="1" applyAlignment="1">
      <alignment horizontal="left" vertical="center"/>
    </xf>
    <xf numFmtId="0" fontId="35" fillId="0" borderId="0" xfId="8" applyFont="1"/>
    <xf numFmtId="0" fontId="1" fillId="0" borderId="0" xfId="8"/>
    <xf numFmtId="0" fontId="1" fillId="0" borderId="0" xfId="8" applyAlignment="1">
      <alignment horizontal="center"/>
    </xf>
    <xf numFmtId="0" fontId="4" fillId="0" borderId="1" xfId="9" applyFont="1" applyBorder="1" applyAlignment="1">
      <alignment horizontal="center" vertical="center"/>
    </xf>
    <xf numFmtId="0" fontId="4" fillId="0" borderId="41" xfId="9" applyFont="1" applyBorder="1" applyAlignment="1">
      <alignment horizontal="center" vertical="center"/>
    </xf>
    <xf numFmtId="0" fontId="4" fillId="11" borderId="50" xfId="9" applyFont="1" applyFill="1" applyBorder="1" applyAlignment="1">
      <alignment horizontal="left" vertical="center"/>
    </xf>
    <xf numFmtId="0" fontId="4" fillId="11" borderId="39" xfId="9" applyFont="1" applyFill="1" applyBorder="1" applyAlignment="1">
      <alignment horizontal="left" vertical="center"/>
    </xf>
    <xf numFmtId="0" fontId="4" fillId="11" borderId="51" xfId="9" applyFont="1" applyFill="1" applyBorder="1" applyAlignment="1">
      <alignment horizontal="left" vertical="center"/>
    </xf>
    <xf numFmtId="9" fontId="4" fillId="12" borderId="51" xfId="10" applyFont="1" applyFill="1" applyBorder="1" applyAlignment="1">
      <alignment horizontal="center" vertical="center"/>
    </xf>
    <xf numFmtId="1" fontId="4" fillId="12" borderId="51" xfId="11" applyNumberFormat="1" applyFont="1" applyFill="1" applyBorder="1" applyAlignment="1">
      <alignment horizontal="center" vertical="center"/>
    </xf>
    <xf numFmtId="0" fontId="4" fillId="11" borderId="52" xfId="9" applyFont="1" applyFill="1" applyBorder="1" applyAlignment="1">
      <alignment horizontal="left" vertical="center" wrapText="1"/>
    </xf>
    <xf numFmtId="0" fontId="4" fillId="11" borderId="43" xfId="9" applyFont="1" applyFill="1" applyBorder="1" applyAlignment="1">
      <alignment horizontal="left" vertical="center" wrapText="1"/>
    </xf>
    <xf numFmtId="0" fontId="4" fillId="11" borderId="53" xfId="9" applyFont="1" applyFill="1" applyBorder="1" applyAlignment="1">
      <alignment horizontal="left" vertical="center"/>
    </xf>
    <xf numFmtId="9" fontId="4" fillId="12" borderId="53" xfId="10" applyFont="1" applyFill="1" applyBorder="1" applyAlignment="1">
      <alignment horizontal="center" vertical="center"/>
    </xf>
    <xf numFmtId="1" fontId="4" fillId="12" borderId="53" xfId="11" applyNumberFormat="1" applyFont="1" applyFill="1" applyBorder="1" applyAlignment="1">
      <alignment horizontal="center" vertical="center"/>
    </xf>
    <xf numFmtId="0" fontId="4" fillId="11" borderId="52" xfId="9" applyFont="1" applyFill="1" applyBorder="1" applyAlignment="1">
      <alignment horizontal="left" vertical="center"/>
    </xf>
    <xf numFmtId="0" fontId="4" fillId="11" borderId="43" xfId="9" applyFont="1" applyFill="1" applyBorder="1" applyAlignment="1">
      <alignment horizontal="left" vertical="center"/>
    </xf>
    <xf numFmtId="0" fontId="4" fillId="11" borderId="56" xfId="9" applyFont="1" applyFill="1" applyBorder="1" applyAlignment="1">
      <alignment horizontal="left" vertical="center" wrapText="1"/>
    </xf>
    <xf numFmtId="0" fontId="4" fillId="11" borderId="46" xfId="9" applyFont="1" applyFill="1" applyBorder="1" applyAlignment="1">
      <alignment horizontal="left" vertical="center"/>
    </xf>
    <xf numFmtId="9" fontId="4" fillId="12" borderId="46" xfId="10" applyFont="1" applyFill="1" applyBorder="1" applyAlignment="1">
      <alignment horizontal="center" vertical="center"/>
    </xf>
    <xf numFmtId="1" fontId="4" fillId="12" borderId="46" xfId="11" applyNumberFormat="1" applyFont="1" applyFill="1" applyBorder="1" applyAlignment="1">
      <alignment horizontal="center" vertical="center"/>
    </xf>
    <xf numFmtId="0" fontId="34" fillId="0" borderId="0" xfId="8" applyFont="1"/>
    <xf numFmtId="0" fontId="37" fillId="0" borderId="0" xfId="0" applyFont="1"/>
    <xf numFmtId="0" fontId="38" fillId="0" borderId="0" xfId="0" applyFont="1"/>
    <xf numFmtId="0" fontId="37" fillId="13" borderId="38" xfId="0" applyFont="1" applyFill="1" applyBorder="1" applyAlignment="1">
      <alignment vertical="center"/>
    </xf>
    <xf numFmtId="0" fontId="37" fillId="13" borderId="38" xfId="0" applyFont="1" applyFill="1" applyBorder="1" applyAlignment="1">
      <alignment vertical="center" wrapText="1"/>
    </xf>
    <xf numFmtId="0" fontId="37" fillId="7" borderId="38" xfId="0" applyFont="1" applyFill="1" applyBorder="1" applyAlignment="1">
      <alignment vertical="center"/>
    </xf>
    <xf numFmtId="0" fontId="37" fillId="13" borderId="42" xfId="0" applyFont="1" applyFill="1" applyBorder="1" applyAlignment="1">
      <alignment vertical="center"/>
    </xf>
    <xf numFmtId="0" fontId="37" fillId="7" borderId="42" xfId="0" applyFont="1" applyFill="1" applyBorder="1" applyAlignment="1">
      <alignment vertical="center"/>
    </xf>
    <xf numFmtId="0" fontId="37" fillId="13" borderId="42" xfId="0" applyFont="1" applyFill="1" applyBorder="1" applyAlignment="1">
      <alignment vertical="center" wrapText="1"/>
    </xf>
    <xf numFmtId="0" fontId="37" fillId="13" borderId="45" xfId="0" applyFont="1" applyFill="1" applyBorder="1" applyAlignment="1">
      <alignment vertical="center"/>
    </xf>
    <xf numFmtId="0" fontId="37" fillId="7" borderId="45" xfId="0" applyFont="1" applyFill="1" applyBorder="1" applyAlignment="1">
      <alignment vertical="center"/>
    </xf>
    <xf numFmtId="0" fontId="39" fillId="14" borderId="3" xfId="9" applyFont="1" applyFill="1" applyBorder="1" applyAlignment="1">
      <alignment horizontal="center" vertical="center" wrapText="1"/>
    </xf>
    <xf numFmtId="0" fontId="5" fillId="7" borderId="3" xfId="9" applyFont="1" applyFill="1" applyBorder="1" applyAlignment="1">
      <alignment horizontal="center" vertical="center" wrapText="1"/>
    </xf>
    <xf numFmtId="10" fontId="34" fillId="0" borderId="0" xfId="0" applyNumberFormat="1" applyFont="1"/>
    <xf numFmtId="0" fontId="35" fillId="0" borderId="0" xfId="0" applyFont="1"/>
    <xf numFmtId="165" fontId="41" fillId="0" borderId="0" xfId="0" applyNumberFormat="1" applyFont="1" applyAlignment="1">
      <alignment horizontal="center"/>
    </xf>
    <xf numFmtId="0" fontId="41" fillId="0" borderId="0" xfId="0" applyFont="1"/>
    <xf numFmtId="0" fontId="5" fillId="14" borderId="3" xfId="9" applyFont="1" applyFill="1" applyBorder="1" applyAlignment="1">
      <alignment horizontal="left" vertical="center"/>
    </xf>
    <xf numFmtId="0" fontId="4" fillId="14" borderId="3" xfId="9" applyFont="1" applyFill="1" applyBorder="1" applyAlignment="1">
      <alignment horizontal="center" vertical="center" wrapText="1"/>
    </xf>
    <xf numFmtId="0" fontId="5" fillId="14" borderId="3" xfId="9" applyFont="1" applyFill="1" applyBorder="1" applyAlignment="1">
      <alignment horizontal="left" vertical="center" wrapText="1"/>
    </xf>
    <xf numFmtId="0" fontId="5" fillId="6" borderId="47" xfId="9" applyFont="1" applyFill="1" applyBorder="1" applyAlignment="1">
      <alignment horizontal="center" vertical="center"/>
    </xf>
    <xf numFmtId="0" fontId="5" fillId="6" borderId="48" xfId="9" applyFont="1" applyFill="1" applyBorder="1" applyAlignment="1">
      <alignment horizontal="center" vertical="center"/>
    </xf>
    <xf numFmtId="0" fontId="5" fillId="6" borderId="48" xfId="9" applyFont="1" applyFill="1" applyBorder="1" applyAlignment="1">
      <alignment horizontal="center" vertical="center" wrapText="1"/>
    </xf>
    <xf numFmtId="0" fontId="5" fillId="6" borderId="49" xfId="9" applyFont="1" applyFill="1" applyBorder="1" applyAlignment="1">
      <alignment horizontal="center" vertical="center" wrapText="1"/>
    </xf>
    <xf numFmtId="0" fontId="4" fillId="0" borderId="45" xfId="9" applyFont="1" applyBorder="1" applyAlignment="1">
      <alignment horizontal="center" vertical="center"/>
    </xf>
    <xf numFmtId="0" fontId="5" fillId="14" borderId="3" xfId="9" applyFont="1" applyFill="1" applyBorder="1" applyAlignment="1">
      <alignment horizontal="center" vertical="center"/>
    </xf>
    <xf numFmtId="0" fontId="5" fillId="14" borderId="3" xfId="9" applyFont="1" applyFill="1" applyBorder="1" applyAlignment="1">
      <alignment horizontal="center" vertical="center" wrapText="1"/>
    </xf>
    <xf numFmtId="0" fontId="34" fillId="6" borderId="60" xfId="0" applyFont="1" applyFill="1" applyBorder="1" applyAlignment="1">
      <alignment horizontal="left" vertical="center" indent="1"/>
    </xf>
    <xf numFmtId="0" fontId="34" fillId="6" borderId="35" xfId="0" applyFont="1" applyFill="1" applyBorder="1"/>
    <xf numFmtId="0" fontId="34" fillId="6" borderId="35" xfId="0" applyFont="1" applyFill="1" applyBorder="1" applyAlignment="1">
      <alignment horizontal="right"/>
    </xf>
    <xf numFmtId="0" fontId="34" fillId="6" borderId="35" xfId="0" applyFont="1" applyFill="1" applyBorder="1" applyAlignment="1">
      <alignment horizontal="left"/>
    </xf>
    <xf numFmtId="0" fontId="35" fillId="6" borderId="61" xfId="0" applyFont="1" applyFill="1" applyBorder="1" applyAlignment="1">
      <alignment horizontal="left" vertical="center" indent="2"/>
    </xf>
    <xf numFmtId="0" fontId="34" fillId="6" borderId="0" xfId="0" applyFont="1" applyFill="1" applyAlignment="1">
      <alignment vertical="center"/>
    </xf>
    <xf numFmtId="10" fontId="35" fillId="6" borderId="0" xfId="0" applyNumberFormat="1" applyFont="1" applyFill="1" applyAlignment="1">
      <alignment horizontal="center" vertical="center"/>
    </xf>
    <xf numFmtId="10" fontId="35" fillId="6" borderId="0" xfId="0" applyNumberFormat="1" applyFont="1" applyFill="1" applyAlignment="1">
      <alignment horizontal="left" vertical="center"/>
    </xf>
    <xf numFmtId="10" fontId="35" fillId="6" borderId="0" xfId="0" applyNumberFormat="1" applyFont="1" applyFill="1" applyAlignment="1">
      <alignment horizontal="right" vertical="center"/>
    </xf>
    <xf numFmtId="0" fontId="35" fillId="6" borderId="0" xfId="0" applyFont="1" applyFill="1" applyAlignment="1">
      <alignment horizontal="right"/>
    </xf>
    <xf numFmtId="0" fontId="1" fillId="0" borderId="61" xfId="0" applyFont="1" applyBorder="1" applyAlignment="1">
      <alignment horizontal="left" vertical="center" indent="2"/>
    </xf>
    <xf numFmtId="0" fontId="34" fillId="0" borderId="0" xfId="0" applyFont="1" applyAlignment="1">
      <alignment horizontal="left"/>
    </xf>
    <xf numFmtId="0" fontId="1" fillId="14" borderId="61" xfId="0" applyFont="1" applyFill="1" applyBorder="1" applyAlignment="1">
      <alignment horizontal="left" vertical="center" indent="2"/>
    </xf>
    <xf numFmtId="0" fontId="28" fillId="14" borderId="0" xfId="0" applyFont="1" applyFill="1"/>
    <xf numFmtId="0" fontId="0" fillId="14" borderId="0" xfId="0" applyFill="1"/>
    <xf numFmtId="0" fontId="0" fillId="14" borderId="0" xfId="0" applyFill="1" applyAlignment="1">
      <alignment horizontal="left"/>
    </xf>
    <xf numFmtId="0" fontId="34" fillId="14" borderId="0" xfId="0" applyFont="1" applyFill="1" applyAlignment="1">
      <alignment horizontal="left"/>
    </xf>
    <xf numFmtId="165" fontId="41" fillId="14" borderId="0" xfId="0" applyNumberFormat="1" applyFont="1" applyFill="1" applyAlignment="1">
      <alignment horizontal="center"/>
    </xf>
    <xf numFmtId="0" fontId="28" fillId="0" borderId="0" xfId="0" applyFont="1"/>
    <xf numFmtId="0" fontId="0" fillId="0" borderId="0" xfId="0" applyAlignment="1">
      <alignment horizontal="left"/>
    </xf>
    <xf numFmtId="0" fontId="4" fillId="6" borderId="10" xfId="9" applyFont="1" applyFill="1" applyBorder="1" applyAlignment="1">
      <alignment horizontal="left" vertical="center"/>
    </xf>
    <xf numFmtId="0" fontId="4" fillId="15" borderId="34" xfId="9" applyFont="1" applyFill="1" applyBorder="1" applyAlignment="1">
      <alignment horizontal="left" vertical="center"/>
    </xf>
    <xf numFmtId="0" fontId="4" fillId="15" borderId="36" xfId="9" applyFont="1" applyFill="1" applyBorder="1" applyAlignment="1">
      <alignment horizontal="left" vertical="center"/>
    </xf>
    <xf numFmtId="0" fontId="4" fillId="15" borderId="59" xfId="9" applyFont="1" applyFill="1" applyBorder="1" applyAlignment="1">
      <alignment horizontal="left" vertical="center"/>
    </xf>
    <xf numFmtId="0" fontId="4" fillId="15" borderId="58" xfId="9" applyFont="1" applyFill="1" applyBorder="1" applyAlignment="1">
      <alignment horizontal="left" vertical="center"/>
    </xf>
    <xf numFmtId="0" fontId="4" fillId="15" borderId="38" xfId="9" applyFont="1" applyFill="1" applyBorder="1" applyAlignment="1">
      <alignment horizontal="left" vertical="center"/>
    </xf>
    <xf numFmtId="0" fontId="4" fillId="15" borderId="42" xfId="9" applyFont="1" applyFill="1" applyBorder="1" applyAlignment="1">
      <alignment horizontal="left" vertical="center"/>
    </xf>
    <xf numFmtId="0" fontId="5" fillId="0" borderId="0" xfId="9" applyFont="1" applyAlignment="1">
      <alignment horizontal="center" vertical="center"/>
    </xf>
    <xf numFmtId="0" fontId="5" fillId="6" borderId="8" xfId="9" applyFont="1" applyFill="1" applyBorder="1" applyAlignment="1">
      <alignment horizontal="left" vertical="center"/>
    </xf>
    <xf numFmtId="0" fontId="1" fillId="14" borderId="11" xfId="0" applyFont="1" applyFill="1" applyBorder="1" applyAlignment="1">
      <alignment horizontal="left" vertical="center" indent="2"/>
    </xf>
    <xf numFmtId="0" fontId="28" fillId="14" borderId="12" xfId="0" applyFont="1" applyFill="1" applyBorder="1"/>
    <xf numFmtId="0" fontId="0" fillId="14" borderId="12" xfId="0" applyFill="1" applyBorder="1"/>
    <xf numFmtId="0" fontId="0" fillId="14" borderId="12" xfId="0" applyFill="1" applyBorder="1" applyAlignment="1">
      <alignment horizontal="left"/>
    </xf>
    <xf numFmtId="0" fontId="34" fillId="14" borderId="12" xfId="0" applyFont="1" applyFill="1" applyBorder="1" applyAlignment="1">
      <alignment horizontal="left"/>
    </xf>
    <xf numFmtId="165" fontId="41" fillId="14" borderId="12" xfId="0" applyNumberFormat="1" applyFont="1" applyFill="1" applyBorder="1" applyAlignment="1">
      <alignment horizontal="center"/>
    </xf>
    <xf numFmtId="0" fontId="35" fillId="6" borderId="35" xfId="0" applyFont="1" applyFill="1" applyBorder="1" applyAlignment="1">
      <alignment horizontal="center" wrapText="1"/>
    </xf>
    <xf numFmtId="0" fontId="35" fillId="6" borderId="36" xfId="0" applyFont="1" applyFill="1" applyBorder="1" applyAlignment="1">
      <alignment horizontal="center" wrapText="1"/>
    </xf>
    <xf numFmtId="0" fontId="35" fillId="6" borderId="0" xfId="0" applyFont="1" applyFill="1" applyAlignment="1">
      <alignment horizontal="center" wrapText="1"/>
    </xf>
    <xf numFmtId="0" fontId="35" fillId="6" borderId="62" xfId="0" applyFont="1" applyFill="1" applyBorder="1" applyAlignment="1">
      <alignment horizontal="center" wrapText="1"/>
    </xf>
    <xf numFmtId="165" fontId="40" fillId="0" borderId="0" xfId="0" applyNumberFormat="1" applyFont="1" applyAlignment="1">
      <alignment horizontal="left"/>
    </xf>
    <xf numFmtId="165" fontId="40" fillId="0" borderId="62" xfId="0" applyNumberFormat="1" applyFont="1" applyBorder="1" applyAlignment="1">
      <alignment horizontal="left"/>
    </xf>
    <xf numFmtId="165" fontId="41" fillId="14" borderId="0" xfId="0" applyNumberFormat="1" applyFont="1" applyFill="1" applyAlignment="1">
      <alignment horizontal="left"/>
    </xf>
    <xf numFmtId="165" fontId="41" fillId="14" borderId="62" xfId="0" applyNumberFormat="1" applyFont="1" applyFill="1" applyBorder="1" applyAlignment="1">
      <alignment horizontal="left"/>
    </xf>
    <xf numFmtId="0" fontId="4" fillId="11" borderId="40" xfId="9" applyFont="1" applyFill="1" applyBorder="1" applyAlignment="1">
      <alignment horizontal="center" vertical="center" wrapText="1"/>
    </xf>
    <xf numFmtId="0" fontId="4" fillId="11" borderId="54" xfId="9" applyFont="1" applyFill="1" applyBorder="1" applyAlignment="1">
      <alignment horizontal="center" vertical="center" wrapText="1"/>
    </xf>
    <xf numFmtId="0" fontId="4" fillId="11" borderId="55" xfId="9" applyFont="1" applyFill="1" applyBorder="1" applyAlignment="1">
      <alignment horizontal="center" vertical="center" wrapText="1"/>
    </xf>
    <xf numFmtId="0" fontId="4" fillId="11" borderId="44" xfId="9" applyFont="1" applyFill="1" applyBorder="1" applyAlignment="1">
      <alignment horizontal="center" vertical="center" wrapText="1"/>
    </xf>
    <xf numFmtId="0" fontId="4" fillId="11" borderId="57" xfId="9" applyFont="1" applyFill="1" applyBorder="1" applyAlignment="1">
      <alignment horizontal="center" vertical="center" wrapText="1"/>
    </xf>
    <xf numFmtId="165" fontId="41" fillId="14" borderId="12" xfId="0" applyNumberFormat="1" applyFont="1" applyFill="1" applyBorder="1" applyAlignment="1">
      <alignment horizontal="left"/>
    </xf>
    <xf numFmtId="165" fontId="41" fillId="14" borderId="37" xfId="0" applyNumberFormat="1" applyFont="1" applyFill="1" applyBorder="1" applyAlignment="1">
      <alignment horizontal="left"/>
    </xf>
    <xf numFmtId="0" fontId="16" fillId="5" borderId="8" xfId="2" applyFont="1" applyFill="1" applyBorder="1" applyAlignment="1">
      <alignment horizontal="center" vertical="center" wrapText="1"/>
    </xf>
    <xf numFmtId="0" fontId="11" fillId="5" borderId="9" xfId="2" applyFont="1" applyFill="1" applyBorder="1" applyAlignment="1">
      <alignment horizontal="center" vertical="center" wrapText="1"/>
    </xf>
    <xf numFmtId="0" fontId="11" fillId="5" borderId="10" xfId="2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10" borderId="34" xfId="0" applyFont="1" applyFill="1" applyBorder="1" applyAlignment="1">
      <alignment horizontal="center" vertical="center" wrapText="1"/>
    </xf>
    <xf numFmtId="0" fontId="5" fillId="10" borderId="35" xfId="0" applyFont="1" applyFill="1" applyBorder="1" applyAlignment="1">
      <alignment horizontal="center" vertical="center" wrapText="1"/>
    </xf>
    <xf numFmtId="0" fontId="5" fillId="10" borderId="36" xfId="0" applyFont="1" applyFill="1" applyBorder="1" applyAlignment="1">
      <alignment horizontal="center" vertical="center" wrapText="1"/>
    </xf>
    <xf numFmtId="0" fontId="5" fillId="10" borderId="11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 wrapText="1"/>
    </xf>
    <xf numFmtId="0" fontId="5" fillId="10" borderId="37" xfId="0" applyFont="1" applyFill="1" applyBorder="1" applyAlignment="1">
      <alignment horizontal="center" vertical="center" wrapText="1"/>
    </xf>
    <xf numFmtId="0" fontId="28" fillId="0" borderId="34" xfId="0" applyFont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5" fillId="10" borderId="8" xfId="0" applyFont="1" applyFill="1" applyBorder="1" applyAlignment="1">
      <alignment horizontal="center" vertical="top"/>
    </xf>
    <xf numFmtId="0" fontId="5" fillId="10" borderId="10" xfId="0" applyFont="1" applyFill="1" applyBorder="1" applyAlignment="1">
      <alignment horizontal="center" vertical="top"/>
    </xf>
    <xf numFmtId="1" fontId="8" fillId="3" borderId="4" xfId="3" applyNumberFormat="1" applyFont="1" applyFill="1" applyBorder="1" applyAlignment="1">
      <alignment horizontal="center" vertical="center" wrapText="1"/>
    </xf>
    <xf numFmtId="1" fontId="8" fillId="3" borderId="27" xfId="3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0" fillId="8" borderId="33" xfId="0" applyFill="1" applyBorder="1" applyAlignment="1">
      <alignment horizontal="center"/>
    </xf>
    <xf numFmtId="49" fontId="8" fillId="3" borderId="31" xfId="3" applyNumberFormat="1" applyFont="1" applyFill="1" applyBorder="1" applyAlignment="1">
      <alignment horizontal="center" vertical="center" wrapText="1"/>
    </xf>
    <xf numFmtId="49" fontId="8" fillId="3" borderId="32" xfId="3" applyNumberFormat="1" applyFont="1" applyFill="1" applyBorder="1" applyAlignment="1">
      <alignment horizontal="center" vertical="center" wrapText="1"/>
    </xf>
    <xf numFmtId="14" fontId="4" fillId="0" borderId="0" xfId="0" applyNumberFormat="1" applyFont="1" applyAlignment="1">
      <alignment horizontal="center" vertical="top" wrapText="1"/>
    </xf>
    <xf numFmtId="14" fontId="4" fillId="0" borderId="0" xfId="0" applyNumberFormat="1" applyFont="1" applyAlignment="1">
      <alignment horizontal="center" vertical="top"/>
    </xf>
    <xf numFmtId="0" fontId="23" fillId="0" borderId="1" xfId="5" applyFont="1" applyBorder="1" applyAlignment="1">
      <alignment horizontal="center" vertical="center" wrapText="1"/>
    </xf>
    <xf numFmtId="0" fontId="23" fillId="0" borderId="23" xfId="5" applyFont="1" applyBorder="1" applyAlignment="1">
      <alignment horizontal="center" vertical="center" wrapText="1"/>
    </xf>
    <xf numFmtId="0" fontId="23" fillId="0" borderId="2" xfId="5" applyFont="1" applyBorder="1" applyAlignment="1">
      <alignment horizontal="center" vertical="center" wrapText="1"/>
    </xf>
    <xf numFmtId="0" fontId="22" fillId="0" borderId="0" xfId="5" applyFont="1" applyAlignment="1">
      <alignment horizontal="center" vertical="center"/>
    </xf>
    <xf numFmtId="0" fontId="25" fillId="6" borderId="16" xfId="6" applyFont="1" applyFill="1" applyBorder="1" applyAlignment="1">
      <alignment horizontal="center" vertical="center" wrapText="1"/>
    </xf>
    <xf numFmtId="0" fontId="25" fillId="6" borderId="17" xfId="6" applyFont="1" applyFill="1" applyBorder="1" applyAlignment="1">
      <alignment horizontal="center" vertical="center" wrapText="1"/>
    </xf>
    <xf numFmtId="0" fontId="23" fillId="0" borderId="21" xfId="5" applyFont="1" applyBorder="1" applyAlignment="1">
      <alignment horizontal="center" vertical="center" wrapText="1"/>
    </xf>
  </cellXfs>
  <cellStyles count="12">
    <cellStyle name="Hyperlink" xfId="4" builtinId="8"/>
    <cellStyle name="Hyperlink 2" xfId="7" xr:uid="{165685C4-F1B7-441B-A994-6CC808B88615}"/>
    <cellStyle name="Normal" xfId="0" builtinId="0"/>
    <cellStyle name="Normal 2" xfId="2" xr:uid="{00000000-0005-0000-0000-000031000000}"/>
    <cellStyle name="Normal 2 2" xfId="5" xr:uid="{4283AD56-FD33-453F-9BF1-D2EEA400B529}"/>
    <cellStyle name="Normal 2 3" xfId="6" xr:uid="{DC4C96CC-D1A8-4EE6-8FE0-5ED56395A6CF}"/>
    <cellStyle name="Normal 3" xfId="8" xr:uid="{2BA410A2-7EA2-4BD4-A011-161EF1CEF06B}"/>
    <cellStyle name="Normal 3 2" xfId="3" xr:uid="{00000000-0005-0000-0000-000032000000}"/>
    <cellStyle name="Normal 3 3" xfId="9" xr:uid="{4A07E73C-CA3E-4F04-A328-A5B4EC762D29}"/>
    <cellStyle name="Percent" xfId="1" builtinId="5"/>
    <cellStyle name="Percent 2" xfId="10" xr:uid="{285AC953-6DD7-40C1-98E0-9E28D8F3DB7B}"/>
    <cellStyle name="Percent 2 2" xfId="11" xr:uid="{82EEC624-0C9F-4643-9D44-0F44BC09733D}"/>
  </cellStyles>
  <dxfs count="1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C00000"/>
      </font>
      <fill>
        <patternFill patternType="solid">
          <bgColor rgb="FFFFCCCC"/>
        </patternFill>
      </fill>
    </dxf>
    <dxf>
      <font>
        <color theme="0" tint="-0.34998626667073579"/>
      </font>
      <fill>
        <patternFill patternType="solid">
          <bgColor theme="7" tint="0.79992065187536243"/>
        </patternFill>
      </fill>
    </dxf>
    <dxf>
      <font>
        <color rgb="FFC00000"/>
      </font>
      <fill>
        <patternFill patternType="solid">
          <bgColor rgb="FFFFCCCC"/>
        </patternFill>
      </fill>
    </dxf>
    <dxf>
      <font>
        <color theme="0" tint="-0.34998626667073579"/>
      </font>
      <fill>
        <patternFill patternType="solid">
          <bgColor theme="7" tint="0.79992065187536243"/>
        </patternFill>
      </fill>
    </dxf>
    <dxf>
      <font>
        <color rgb="FFC00000"/>
      </font>
      <fill>
        <patternFill patternType="solid">
          <bgColor rgb="FFFFCCCC"/>
        </patternFill>
      </fill>
    </dxf>
    <dxf>
      <font>
        <color theme="0" tint="-0.34998626667073579"/>
      </font>
      <fill>
        <patternFill patternType="solid">
          <bgColor theme="7" tint="0.79992065187536243"/>
        </patternFill>
      </fill>
    </dxf>
    <dxf>
      <font>
        <color rgb="FFC00000"/>
      </font>
      <fill>
        <patternFill patternType="solid">
          <bgColor rgb="FFFFCCCC"/>
        </patternFill>
      </fill>
    </dxf>
    <dxf>
      <font>
        <color theme="0" tint="-0.34998626667073579"/>
      </font>
      <fill>
        <patternFill patternType="solid">
          <bgColor theme="7" tint="0.79992065187536243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DFFEF"/>
      <color rgb="FFE7F7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639739</xdr:colOff>
      <xdr:row>1</xdr:row>
      <xdr:rowOff>298546</xdr:rowOff>
    </xdr:from>
    <xdr:to>
      <xdr:col>8</xdr:col>
      <xdr:colOff>263874</xdr:colOff>
      <xdr:row>26</xdr:row>
      <xdr:rowOff>182615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F5A52C-34B3-48FD-ABF9-B7AA29CE8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8806" y="483359"/>
          <a:ext cx="5552381" cy="7361905"/>
        </a:xfrm>
        <a:prstGeom prst="rect">
          <a:avLst/>
        </a:prstGeom>
      </xdr:spPr>
    </xdr:pic>
    <xdr:clientData/>
  </xdr:twoCellAnchor>
  <xdr:twoCellAnchor editAs="oneCell">
    <xdr:from>
      <xdr:col>9</xdr:col>
      <xdr:colOff>568657</xdr:colOff>
      <xdr:row>1</xdr:row>
      <xdr:rowOff>156380</xdr:rowOff>
    </xdr:from>
    <xdr:to>
      <xdr:col>16</xdr:col>
      <xdr:colOff>430609</xdr:colOff>
      <xdr:row>25</xdr:row>
      <xdr:rowOff>134162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7AF91C-5BFD-448F-95B8-5C283BD4A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770523" y="355410"/>
          <a:ext cx="5733332" cy="74556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teams.microsoft.com/l/meetup-join/19%3ameeting_ZmFiNmUwOGYtYzY0OC00NjMzLWFlYTctM2JhYjAxNGE4ZjU0%40thread.v2/0?context=%7b%22Tid%22%3a%22a3942a03-8939-492f-8762-ce992d7ab843%22%2c%22Oid%22%3a%22d35173b7-d170-493e-b41d-6bb910d76ef6%22%7d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hninpwintphyu@diracetechnology.com" TargetMode="External"/><Relationship Id="rId13" Type="http://schemas.openxmlformats.org/officeDocument/2006/relationships/hyperlink" Target="mailto:thetzinaye@diracetechnology.com" TargetMode="External"/><Relationship Id="rId18" Type="http://schemas.openxmlformats.org/officeDocument/2006/relationships/hyperlink" Target="mailto:winthirihan@diracetechnology.com" TargetMode="External"/><Relationship Id="rId3" Type="http://schemas.openxmlformats.org/officeDocument/2006/relationships/hyperlink" Target="mailto:saungthinzarkhaing@diracetechnology.com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zarlilinnhtet@diracetechnology.com" TargetMode="External"/><Relationship Id="rId12" Type="http://schemas.openxmlformats.org/officeDocument/2006/relationships/hyperlink" Target="mailto:thazinsan@diracetechnology.com" TargetMode="External"/><Relationship Id="rId17" Type="http://schemas.openxmlformats.org/officeDocument/2006/relationships/hyperlink" Target="mailto:zayyarhein@diracetechnology.com" TargetMode="External"/><Relationship Id="rId2" Type="http://schemas.openxmlformats.org/officeDocument/2006/relationships/hyperlink" Target="mailto:nyeinayemon@diracetechnology.com" TargetMode="External"/><Relationship Id="rId16" Type="http://schemas.openxmlformats.org/officeDocument/2006/relationships/hyperlink" Target="mailto:htarhtarnwe@diracetechnology.com" TargetMode="External"/><Relationship Id="rId20" Type="http://schemas.openxmlformats.org/officeDocument/2006/relationships/hyperlink" Target="mailto:soenandar@diracetechnology.com" TargetMode="External"/><Relationship Id="rId1" Type="http://schemas.openxmlformats.org/officeDocument/2006/relationships/hyperlink" Target="mailto:yinpapa@diracetechnology.com" TargetMode="External"/><Relationship Id="rId6" Type="http://schemas.openxmlformats.org/officeDocument/2006/relationships/hyperlink" Target="mailto:hsumyathtet@diracetechnology.com" TargetMode="External"/><Relationship Id="rId11" Type="http://schemas.openxmlformats.org/officeDocument/2006/relationships/hyperlink" Target="mailto:yimontheint@diracetechnology.com" TargetMode="External"/><Relationship Id="rId5" Type="http://schemas.openxmlformats.org/officeDocument/2006/relationships/hyperlink" Target="mailto:myosoeaung@diracetechnology.com" TargetMode="External"/><Relationship Id="rId15" Type="http://schemas.openxmlformats.org/officeDocument/2006/relationships/hyperlink" Target="mailto:sunandarhtwe@diracetechnology.com" TargetMode="External"/><Relationship Id="rId10" Type="http://schemas.openxmlformats.org/officeDocument/2006/relationships/hyperlink" Target="mailto:nweoomon@diracetechnology.com" TargetMode="External"/><Relationship Id="rId19" Type="http://schemas.openxmlformats.org/officeDocument/2006/relationships/hyperlink" Target="mailto:maythazinoo2@diracetechnology.com" TargetMode="External"/><Relationship Id="rId4" Type="http://schemas.openxmlformats.org/officeDocument/2006/relationships/hyperlink" Target="mailto:kyipyarlwin@diracetechnology.com" TargetMode="External"/><Relationship Id="rId9" Type="http://schemas.openxmlformats.org/officeDocument/2006/relationships/hyperlink" Target="mailto:hsunandarhtet@diracetechnology.com" TargetMode="External"/><Relationship Id="rId14" Type="http://schemas.openxmlformats.org/officeDocument/2006/relationships/hyperlink" Target="mailto:thinzaraung@diracetechnolog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FDEE5-A980-465A-A665-34A8E095B663}">
  <dimension ref="B2:AD45"/>
  <sheetViews>
    <sheetView showGridLines="0" tabSelected="1" topLeftCell="N20" workbookViewId="0">
      <selection activeCell="Y41" sqref="Y41"/>
    </sheetView>
  </sheetViews>
  <sheetFormatPr defaultRowHeight="15"/>
  <cols>
    <col min="1" max="1" width="9.33203125" style="98"/>
    <col min="2" max="2" width="7.1640625" style="98" customWidth="1"/>
    <col min="3" max="3" width="33.33203125" style="98" customWidth="1"/>
    <col min="4" max="4" width="16.33203125" style="98" bestFit="1" customWidth="1"/>
    <col min="5" max="5" width="6.6640625" style="98" customWidth="1"/>
    <col min="6" max="6" width="34.6640625" style="98" customWidth="1"/>
    <col min="7" max="7" width="17.5" style="98" customWidth="1"/>
    <col min="8" max="8" width="16.5" style="98" customWidth="1"/>
    <col min="9" max="9" width="14.83203125" style="98" customWidth="1"/>
    <col min="10" max="10" width="14" style="98" customWidth="1"/>
    <col min="11" max="11" width="8.33203125" style="98" bestFit="1" customWidth="1"/>
    <col min="12" max="12" width="11.1640625" style="98" customWidth="1"/>
    <col min="13" max="13" width="21" style="98" customWidth="1"/>
    <col min="14" max="14" width="12" style="98" customWidth="1"/>
    <col min="15" max="15" width="18.5" style="98" customWidth="1"/>
    <col min="16" max="18" width="13" style="98" customWidth="1"/>
    <col min="19" max="19" width="16.6640625" style="98" customWidth="1"/>
    <col min="20" max="20" width="13" style="98" customWidth="1"/>
    <col min="21" max="21" width="15" style="98" customWidth="1"/>
    <col min="22" max="22" width="13" style="98" customWidth="1"/>
    <col min="23" max="24" width="15.1640625" style="98" customWidth="1"/>
    <col min="25" max="28" width="13" style="98" customWidth="1"/>
    <col min="29" max="29" width="11.1640625" style="98" customWidth="1"/>
    <col min="30" max="30" width="14.83203125" style="98" customWidth="1"/>
    <col min="31" max="16384" width="9.33203125" style="98"/>
  </cols>
  <sheetData>
    <row r="2" spans="2:30">
      <c r="B2" s="97" t="s">
        <v>0</v>
      </c>
    </row>
    <row r="3" spans="2:30">
      <c r="B3" s="97" t="s">
        <v>1</v>
      </c>
    </row>
    <row r="4" spans="2:30">
      <c r="B4" s="97"/>
    </row>
    <row r="5" spans="2:30" ht="27">
      <c r="B5" s="135" t="s">
        <v>2</v>
      </c>
      <c r="C5" s="136"/>
      <c r="D5" s="143" t="s">
        <v>3</v>
      </c>
      <c r="E5" s="135" t="s">
        <v>4</v>
      </c>
      <c r="F5" s="137"/>
      <c r="G5" s="144" t="s">
        <v>5</v>
      </c>
      <c r="H5" s="144" t="s">
        <v>6</v>
      </c>
      <c r="I5" s="144" t="s">
        <v>7</v>
      </c>
      <c r="J5" s="144" t="s">
        <v>8</v>
      </c>
      <c r="N5" s="99"/>
    </row>
    <row r="6" spans="2:30">
      <c r="B6" s="166" t="s">
        <v>9</v>
      </c>
      <c r="C6" s="167"/>
      <c r="D6" s="100">
        <v>9</v>
      </c>
      <c r="E6" s="170" t="s">
        <v>10</v>
      </c>
      <c r="F6" s="170"/>
      <c r="G6" s="100">
        <f>COUNTIFS(F26:F45,E6, H26:H45,"&gt;65%",H26:H45,"&lt;=100%")</f>
        <v>8</v>
      </c>
      <c r="H6" s="100">
        <f>COUNTIFS(F26:F45,E6, H26:H45,"&gt;50%",H26:H45,"&lt;=65%")</f>
        <v>1</v>
      </c>
      <c r="I6" s="100">
        <f>COUNTIFS(F26:F45,E6, H26:H45,"&gt;10%",H26:H45,"&lt;=50%")</f>
        <v>0</v>
      </c>
      <c r="J6" s="100">
        <f>SUM(G6:I6)</f>
        <v>9</v>
      </c>
    </row>
    <row r="7" spans="2:30">
      <c r="B7" s="168" t="s">
        <v>11</v>
      </c>
      <c r="C7" s="169"/>
      <c r="D7" s="101">
        <v>11</v>
      </c>
      <c r="E7" s="171" t="s">
        <v>12</v>
      </c>
      <c r="F7" s="171"/>
      <c r="G7" s="142">
        <f>COUNTIFS(F26:F45,E7, H26:H45,"&gt;65%",H26:H45,"&lt;=100%")</f>
        <v>10</v>
      </c>
      <c r="H7" s="142">
        <f>COUNTIFS(F26:F45,E7,  H26:H45,"&gt;50%",H26:H45,"&lt;=65%")</f>
        <v>1</v>
      </c>
      <c r="I7" s="142">
        <f>COUNTIFS(F26:F45,E7, H26:H45,"&gt;10%",H26:H45,"&lt;=50%")</f>
        <v>0</v>
      </c>
      <c r="J7" s="142">
        <f>SUM(G7:I7)</f>
        <v>11</v>
      </c>
    </row>
    <row r="8" spans="2:30" ht="15" customHeight="1">
      <c r="B8" s="173" t="s">
        <v>13</v>
      </c>
      <c r="C8" s="165"/>
      <c r="D8" s="143">
        <f>SUM(D6:D7)</f>
        <v>20</v>
      </c>
      <c r="E8" s="172"/>
      <c r="F8" s="118"/>
      <c r="G8" s="143">
        <f>SUM(G6:G7)</f>
        <v>18</v>
      </c>
      <c r="H8" s="143">
        <f>SUM(H6:H7)</f>
        <v>2</v>
      </c>
      <c r="I8" s="143">
        <f>SUM(I6:I7)</f>
        <v>0</v>
      </c>
      <c r="J8" s="143">
        <f>SUM(G8:I8)</f>
        <v>20</v>
      </c>
      <c r="P8" s="120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20"/>
      <c r="AD8" s="119"/>
    </row>
    <row r="9" spans="2:30" ht="15" customHeight="1">
      <c r="B9" s="97"/>
      <c r="P9" s="120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20"/>
      <c r="AD9" s="119"/>
    </row>
    <row r="10" spans="2:30" customFormat="1">
      <c r="B10" s="145" t="s">
        <v>14</v>
      </c>
      <c r="C10" s="146"/>
      <c r="D10" s="146"/>
      <c r="E10" s="146"/>
      <c r="F10" s="147"/>
      <c r="G10" s="148"/>
      <c r="H10" s="148"/>
      <c r="I10" s="180" t="str">
        <f>AB25</f>
        <v>Any Improvement Comment/Suggestion
(Optional)</v>
      </c>
      <c r="J10" s="180"/>
      <c r="K10" s="181"/>
    </row>
    <row r="11" spans="2:30" customFormat="1">
      <c r="B11" s="149" t="s">
        <v>15</v>
      </c>
      <c r="C11" s="150"/>
      <c r="D11" s="151"/>
      <c r="E11" s="152" t="s">
        <v>16</v>
      </c>
      <c r="F11" s="151"/>
      <c r="G11" s="153" t="s">
        <v>17</v>
      </c>
      <c r="H11" s="154" t="s">
        <v>18</v>
      </c>
      <c r="I11" s="182"/>
      <c r="J11" s="182"/>
      <c r="K11" s="183"/>
      <c r="L11" s="98"/>
      <c r="M11" s="131"/>
      <c r="N11" s="132"/>
    </row>
    <row r="12" spans="2:30" customFormat="1">
      <c r="B12" s="155" t="str">
        <f>P25</f>
        <v>Business Conversation Fluency
(1-5)</v>
      </c>
      <c r="C12" s="163"/>
      <c r="F12" s="164"/>
      <c r="G12" s="156"/>
      <c r="H12" s="133"/>
      <c r="I12" s="184"/>
      <c r="J12" s="184"/>
      <c r="K12" s="185"/>
      <c r="L12" s="133"/>
      <c r="M12" s="134"/>
      <c r="N12" s="133"/>
      <c r="O12" s="134"/>
    </row>
    <row r="13" spans="2:30" customFormat="1">
      <c r="B13" s="157" t="str">
        <f>Q25</f>
        <v>Daily Business Expressions (Ho-Ren-So)
(1–5)</v>
      </c>
      <c r="C13" s="158"/>
      <c r="D13" s="159"/>
      <c r="E13" s="159"/>
      <c r="F13" s="160"/>
      <c r="G13" s="161"/>
      <c r="H13" s="162"/>
      <c r="I13" s="186"/>
      <c r="J13" s="186"/>
      <c r="K13" s="187"/>
      <c r="L13" s="133"/>
      <c r="M13" s="134"/>
      <c r="N13" s="133"/>
      <c r="O13" s="134"/>
    </row>
    <row r="14" spans="2:30" customFormat="1">
      <c r="B14" s="155" t="str">
        <f>R25</f>
        <v>Politeness &amp; Keigo Usage (1-5)</v>
      </c>
      <c r="C14" s="163"/>
      <c r="F14" s="164"/>
      <c r="G14" s="156"/>
      <c r="H14" s="133"/>
      <c r="I14" s="184"/>
      <c r="J14" s="184"/>
      <c r="K14" s="185"/>
      <c r="L14" s="133"/>
      <c r="M14" s="134"/>
      <c r="N14" s="133"/>
      <c r="O14" s="134"/>
    </row>
    <row r="15" spans="2:30" customFormat="1">
      <c r="B15" s="157" t="str">
        <f>S25</f>
        <v>Listening Comprehension 
(1-5)</v>
      </c>
      <c r="C15" s="158"/>
      <c r="D15" s="159"/>
      <c r="E15" s="159"/>
      <c r="F15" s="160"/>
      <c r="G15" s="161"/>
      <c r="H15" s="162"/>
      <c r="I15" s="186"/>
      <c r="J15" s="186"/>
      <c r="K15" s="187"/>
      <c r="L15" s="133"/>
      <c r="M15" s="134"/>
      <c r="N15" s="133"/>
      <c r="O15" s="134"/>
    </row>
    <row r="16" spans="2:30" customFormat="1">
      <c r="B16" s="155" t="str">
        <f>T25</f>
        <v>Communicati Speaking &amp; Role-play
(1–5)</v>
      </c>
      <c r="C16" s="163"/>
      <c r="F16" s="164"/>
      <c r="G16" s="156"/>
      <c r="H16" s="133"/>
      <c r="I16" s="184"/>
      <c r="J16" s="184"/>
      <c r="K16" s="185"/>
      <c r="L16" s="133"/>
      <c r="M16" s="134"/>
      <c r="N16" s="133"/>
      <c r="O16" s="134"/>
    </row>
    <row r="17" spans="2:30" customFormat="1">
      <c r="B17" s="157" t="str">
        <f>U25</f>
        <v>Email &amp; Written Communication
(1–5)</v>
      </c>
      <c r="C17" s="158"/>
      <c r="D17" s="159"/>
      <c r="E17" s="159"/>
      <c r="F17" s="160"/>
      <c r="G17" s="161"/>
      <c r="H17" s="162"/>
      <c r="I17" s="186"/>
      <c r="J17" s="186"/>
      <c r="K17" s="187"/>
      <c r="L17" s="133"/>
      <c r="M17" s="134"/>
      <c r="N17" s="133"/>
      <c r="O17" s="134"/>
    </row>
    <row r="18" spans="2:30" customFormat="1">
      <c r="B18" s="155" t="str">
        <f>V25</f>
        <v>Vocabulary &amp; Terminology
(1–5)</v>
      </c>
      <c r="C18" s="163"/>
      <c r="F18" s="164"/>
      <c r="G18" s="156"/>
      <c r="H18" s="133"/>
      <c r="I18" s="184"/>
      <c r="J18" s="184"/>
      <c r="K18" s="185"/>
      <c r="L18" s="133"/>
      <c r="M18" s="134"/>
      <c r="N18" s="133"/>
      <c r="O18" s="134"/>
    </row>
    <row r="19" spans="2:30" customFormat="1">
      <c r="B19" s="157" t="str">
        <f>W25</f>
        <v>Response &amp; Communication Clarity
(1–5)</v>
      </c>
      <c r="C19" s="158"/>
      <c r="D19" s="159"/>
      <c r="E19" s="159"/>
      <c r="F19" s="160"/>
      <c r="G19" s="161"/>
      <c r="H19" s="162"/>
      <c r="I19" s="186"/>
      <c r="J19" s="186"/>
      <c r="K19" s="187"/>
      <c r="L19" s="133"/>
      <c r="M19" s="134"/>
      <c r="N19" s="133"/>
      <c r="O19" s="134"/>
    </row>
    <row r="20" spans="2:30" customFormat="1">
      <c r="B20" s="155" t="str">
        <f>X25</f>
        <v>Understanding Instructions &amp; Tasks
(1–5)</v>
      </c>
      <c r="C20" s="163"/>
      <c r="F20" s="164"/>
      <c r="G20" s="156"/>
      <c r="H20" s="133"/>
      <c r="I20" s="184"/>
      <c r="J20" s="184"/>
      <c r="K20" s="185"/>
      <c r="L20" s="133"/>
      <c r="M20" s="134"/>
      <c r="N20" s="133"/>
      <c r="O20" s="134"/>
    </row>
    <row r="21" spans="2:30" customFormat="1">
      <c r="B21" s="157" t="str">
        <f>Y25</f>
        <v>Before Session Score
(1-5)</v>
      </c>
      <c r="C21" s="158"/>
      <c r="D21" s="159"/>
      <c r="E21" s="159"/>
      <c r="F21" s="160"/>
      <c r="G21" s="161"/>
      <c r="H21" s="162"/>
      <c r="I21" s="186"/>
      <c r="J21" s="186"/>
      <c r="K21" s="187"/>
      <c r="L21" s="133"/>
      <c r="M21" s="134"/>
      <c r="N21" s="133"/>
      <c r="O21" s="134"/>
    </row>
    <row r="22" spans="2:30" customFormat="1">
      <c r="B22" s="155" t="str">
        <f>Z25</f>
        <v>After Session Score
(1-5)</v>
      </c>
      <c r="C22" s="163"/>
      <c r="F22" s="164"/>
      <c r="G22" s="156"/>
      <c r="H22" s="133"/>
      <c r="I22" s="184"/>
      <c r="J22" s="184"/>
      <c r="K22" s="185"/>
      <c r="L22" s="133"/>
      <c r="M22" s="134"/>
      <c r="N22" s="133"/>
      <c r="O22" s="134"/>
    </row>
    <row r="23" spans="2:30" customFormat="1">
      <c r="B23" s="174" t="str">
        <f>AB25</f>
        <v>Any Improvement Comment/Suggestion
(Optional)</v>
      </c>
      <c r="C23" s="175"/>
      <c r="D23" s="176"/>
      <c r="E23" s="176"/>
      <c r="F23" s="177"/>
      <c r="G23" s="178"/>
      <c r="H23" s="179"/>
      <c r="I23" s="193"/>
      <c r="J23" s="193"/>
      <c r="K23" s="194"/>
      <c r="L23" s="133"/>
      <c r="M23" s="134"/>
      <c r="N23" s="133"/>
      <c r="O23" s="134"/>
    </row>
    <row r="24" spans="2:30" ht="15" customHeight="1">
      <c r="P24" s="120" t="s">
        <v>19</v>
      </c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20" t="s">
        <v>20</v>
      </c>
      <c r="AD24" s="119"/>
    </row>
    <row r="25" spans="2:30" ht="70.5" customHeight="1">
      <c r="B25" s="138" t="s">
        <v>21</v>
      </c>
      <c r="C25" s="139" t="s">
        <v>22</v>
      </c>
      <c r="D25" s="139" t="s">
        <v>23</v>
      </c>
      <c r="E25" s="140" t="s">
        <v>24</v>
      </c>
      <c r="F25" s="139" t="s">
        <v>25</v>
      </c>
      <c r="G25" s="139" t="s">
        <v>26</v>
      </c>
      <c r="H25" s="140" t="s">
        <v>27</v>
      </c>
      <c r="I25" s="140" t="s">
        <v>28</v>
      </c>
      <c r="J25" s="140" t="s">
        <v>29</v>
      </c>
      <c r="K25" s="140" t="s">
        <v>30</v>
      </c>
      <c r="L25" s="140" t="s">
        <v>31</v>
      </c>
      <c r="M25" s="140" t="s">
        <v>32</v>
      </c>
      <c r="N25" s="140" t="s">
        <v>33</v>
      </c>
      <c r="O25" s="141" t="s">
        <v>34</v>
      </c>
      <c r="P25" s="129" t="s">
        <v>35</v>
      </c>
      <c r="Q25" s="129" t="s">
        <v>36</v>
      </c>
      <c r="R25" s="129" t="s">
        <v>37</v>
      </c>
      <c r="S25" s="129" t="s">
        <v>38</v>
      </c>
      <c r="T25" s="129" t="s">
        <v>39</v>
      </c>
      <c r="U25" s="129" t="s">
        <v>40</v>
      </c>
      <c r="V25" s="129" t="s">
        <v>41</v>
      </c>
      <c r="W25" s="129" t="s">
        <v>42</v>
      </c>
      <c r="X25" s="129" t="s">
        <v>43</v>
      </c>
      <c r="Y25" s="129" t="s">
        <v>44</v>
      </c>
      <c r="Z25" s="129" t="s">
        <v>45</v>
      </c>
      <c r="AA25" s="129" t="s">
        <v>46</v>
      </c>
      <c r="AB25" s="129" t="s">
        <v>47</v>
      </c>
      <c r="AC25" s="130" t="s">
        <v>48</v>
      </c>
      <c r="AD25" s="130" t="s">
        <v>49</v>
      </c>
    </row>
    <row r="26" spans="2:30" ht="15" customHeight="1">
      <c r="B26" s="102">
        <v>1</v>
      </c>
      <c r="C26" s="103" t="s">
        <v>50</v>
      </c>
      <c r="D26" s="103" t="s">
        <v>51</v>
      </c>
      <c r="E26" s="103" t="str">
        <f>VLOOKUP(C26,Attendance!D13:M33,10, FALSE)</f>
        <v>N3</v>
      </c>
      <c r="F26" s="104" t="s">
        <v>10</v>
      </c>
      <c r="G26" s="104" t="s">
        <v>52</v>
      </c>
      <c r="H26" s="105">
        <f>VLOOKUP(C26,Attendance!D13:F33,3, FALSE)</f>
        <v>1</v>
      </c>
      <c r="I26" s="106">
        <f>VLOOKUP(C26,Attendance!D13:H33,5, FALSE)</f>
        <v>0</v>
      </c>
      <c r="J26" s="106">
        <f>VLOOKUP(C26,Attendance!D13:K33,6, FALSE)</f>
        <v>0</v>
      </c>
      <c r="K26" s="106">
        <f>VLOOKUP(C26,Attendance!D13:K33,7, FALSE)</f>
        <v>0</v>
      </c>
      <c r="L26" s="106">
        <f>VLOOKUP(C26,Attendance!D13:K33,8, FALSE)</f>
        <v>20</v>
      </c>
      <c r="M26" s="106" t="str">
        <f>IF(H26&gt;65%, "&gt;65%~&lt;=100%", IF(H26&gt;50%, "&gt;50%~&lt;=65%", IF(H26&gt;10%, "&gt;10%~&lt;=50%", "&lt;=10%")))</f>
        <v>&gt;65%~&lt;=100%</v>
      </c>
      <c r="N26" s="103" t="str">
        <f>IF(AND(H26&gt;65%, H26&lt;=1), "Good",
 IF(AND(H26&gt;50%, H26&lt;=65%), "Fair",
 IF(AND(H26&gt;10%, H26&lt;=50%), "Poor",
 IF(H26&lt;=10%, "Critical", "Out of range"))))</f>
        <v>Good</v>
      </c>
      <c r="O26" s="188" t="s">
        <v>53</v>
      </c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2"/>
      <c r="AC26" s="123" t="str">
        <f t="shared" ref="AC26:AC45" si="0">IF(COUNT(P26:Z26)=0,"",ROUND(AVERAGE(P26:Z26),2))</f>
        <v/>
      </c>
      <c r="AD26" s="123" t="str">
        <f>IF(AC26="","",IF(AC26&gt;=4.2,"High Ready (4.2–5.0)",IF(AC26&gt;=3.5,"Ready (3.5–4.1)","Developing (≤3.4)")))</f>
        <v/>
      </c>
    </row>
    <row r="27" spans="2:30" ht="13.5" customHeight="1">
      <c r="B27" s="107">
        <v>2</v>
      </c>
      <c r="C27" s="108" t="s">
        <v>54</v>
      </c>
      <c r="D27" s="108" t="s">
        <v>51</v>
      </c>
      <c r="E27" s="108" t="str">
        <f>VLOOKUP(C27,Attendance!D14:M34,10, FALSE)</f>
        <v>N3</v>
      </c>
      <c r="F27" s="109" t="s">
        <v>10</v>
      </c>
      <c r="G27" s="109" t="s">
        <v>55</v>
      </c>
      <c r="H27" s="110">
        <f>VLOOKUP(C27,Attendance!D14:F34,3, FALSE)</f>
        <v>0.8</v>
      </c>
      <c r="I27" s="111">
        <f>VLOOKUP(C27,Attendance!D14:H34,5, FALSE)</f>
        <v>4</v>
      </c>
      <c r="J27" s="111">
        <f>VLOOKUP(C27,Attendance!D14:K34,6, FALSE)</f>
        <v>0</v>
      </c>
      <c r="K27" s="111">
        <f>VLOOKUP(C27,Attendance!D14:K34,7, FALSE)</f>
        <v>0</v>
      </c>
      <c r="L27" s="111">
        <f>VLOOKUP(C27,Attendance!D14:K34,8, FALSE)</f>
        <v>16</v>
      </c>
      <c r="M27" s="111" t="str">
        <f t="shared" ref="M27:M45" si="1">IF(H27&gt;65%, "&gt;65%~&lt;=100%", IF(H27&gt;50%, "&gt;50%~&lt;=65%", IF(H27&gt;10%, "&gt;10%~&lt;=50%", "&lt;=10%")))</f>
        <v>&gt;65%~&lt;=100%</v>
      </c>
      <c r="N27" s="108" t="str">
        <f t="shared" ref="N27:N45" si="2">IF(AND(H27&gt;65%, H27&lt;=1), "Good",
 IF(AND(H27&gt;50%, H27&lt;=65%), "Fair",
 IF(AND(H27&gt;10%, H27&lt;=50%), "Poor",
 IF(H27&lt;=10%, "Critical", "Out of range"))))</f>
        <v>Good</v>
      </c>
      <c r="O27" s="189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  <c r="AA27" s="124"/>
      <c r="AB27" s="124"/>
      <c r="AC27" s="125" t="str">
        <f t="shared" si="0"/>
        <v/>
      </c>
      <c r="AD27" s="125" t="str">
        <f t="shared" ref="AD27:AD45" si="3">IF(AC27="","",IF(AC27&gt;=4.2,"High Ready (4.2–5.0)",IF(AC27&gt;=3.5,"Ready (3.5–4.1)","Developing (≤3.4)")))</f>
        <v/>
      </c>
    </row>
    <row r="28" spans="2:30">
      <c r="B28" s="112">
        <v>3</v>
      </c>
      <c r="C28" s="113" t="s">
        <v>56</v>
      </c>
      <c r="D28" s="113" t="s">
        <v>51</v>
      </c>
      <c r="E28" s="113" t="str">
        <f>VLOOKUP(C28,Attendance!D15:M35,10, FALSE)</f>
        <v>N2</v>
      </c>
      <c r="F28" s="109" t="s">
        <v>12</v>
      </c>
      <c r="G28" s="109" t="s">
        <v>57</v>
      </c>
      <c r="H28" s="110">
        <f>VLOOKUP(C28,Attendance!D15:F35,3, FALSE)</f>
        <v>0.95</v>
      </c>
      <c r="I28" s="111">
        <f>VLOOKUP(C28,Attendance!D15:H35,5, FALSE)</f>
        <v>1</v>
      </c>
      <c r="J28" s="111">
        <f>VLOOKUP(C28,Attendance!D15:K35,6, FALSE)</f>
        <v>0</v>
      </c>
      <c r="K28" s="111">
        <f>VLOOKUP(C28,Attendance!D15:K35,7, FALSE)</f>
        <v>0</v>
      </c>
      <c r="L28" s="111">
        <f>VLOOKUP(C28,Attendance!D15:K35,8, FALSE)</f>
        <v>19</v>
      </c>
      <c r="M28" s="111" t="str">
        <f t="shared" si="1"/>
        <v>&gt;65%~&lt;=100%</v>
      </c>
      <c r="N28" s="113" t="str">
        <f t="shared" si="2"/>
        <v>Good</v>
      </c>
      <c r="O28" s="189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124"/>
      <c r="AC28" s="125" t="str">
        <f t="shared" si="0"/>
        <v/>
      </c>
      <c r="AD28" s="125" t="str">
        <f t="shared" si="3"/>
        <v/>
      </c>
    </row>
    <row r="29" spans="2:30">
      <c r="B29" s="107">
        <v>4</v>
      </c>
      <c r="C29" s="113" t="s">
        <v>58</v>
      </c>
      <c r="D29" s="113" t="s">
        <v>51</v>
      </c>
      <c r="E29" s="113" t="str">
        <f>VLOOKUP(C29,Attendance!D16:M36,10, FALSE)</f>
        <v>N3</v>
      </c>
      <c r="F29" s="109" t="s">
        <v>12</v>
      </c>
      <c r="G29" s="109" t="s">
        <v>57</v>
      </c>
      <c r="H29" s="110">
        <f>VLOOKUP(C29,Attendance!D16:F36,3, FALSE)</f>
        <v>0.95</v>
      </c>
      <c r="I29" s="111">
        <f>VLOOKUP(C29,Attendance!D16:H36,5, FALSE)</f>
        <v>1</v>
      </c>
      <c r="J29" s="111">
        <f>VLOOKUP(C29,Attendance!D16:K36,6, FALSE)</f>
        <v>0</v>
      </c>
      <c r="K29" s="111">
        <f>VLOOKUP(C29,Attendance!D16:K36,7, FALSE)</f>
        <v>0</v>
      </c>
      <c r="L29" s="111">
        <f>VLOOKUP(C29,Attendance!D16:K36,8, FALSE)</f>
        <v>19</v>
      </c>
      <c r="M29" s="111" t="str">
        <f t="shared" si="1"/>
        <v>&gt;65%~&lt;=100%</v>
      </c>
      <c r="N29" s="113" t="str">
        <f t="shared" si="2"/>
        <v>Good</v>
      </c>
      <c r="O29" s="189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  <c r="AA29" s="124"/>
      <c r="AB29" s="126"/>
      <c r="AC29" s="125" t="str">
        <f t="shared" si="0"/>
        <v/>
      </c>
      <c r="AD29" s="125" t="str">
        <f t="shared" si="3"/>
        <v/>
      </c>
    </row>
    <row r="30" spans="2:30">
      <c r="B30" s="112">
        <v>5</v>
      </c>
      <c r="C30" s="113" t="s">
        <v>59</v>
      </c>
      <c r="D30" s="113" t="s">
        <v>51</v>
      </c>
      <c r="E30" s="113" t="str">
        <f>VLOOKUP(C30,Attendance!D17:M37,10, FALSE)</f>
        <v>N3</v>
      </c>
      <c r="F30" s="109" t="s">
        <v>12</v>
      </c>
      <c r="G30" s="109" t="s">
        <v>60</v>
      </c>
      <c r="H30" s="110">
        <f>VLOOKUP(C30,Attendance!D17:F37,3, FALSE)</f>
        <v>0.8</v>
      </c>
      <c r="I30" s="111">
        <f>VLOOKUP(C30,Attendance!D17:H37,5, FALSE)</f>
        <v>4</v>
      </c>
      <c r="J30" s="111">
        <f>VLOOKUP(C30,Attendance!D17:K37,6, FALSE)</f>
        <v>0</v>
      </c>
      <c r="K30" s="111">
        <f>VLOOKUP(C30,Attendance!D17:K37,7, FALSE)</f>
        <v>0</v>
      </c>
      <c r="L30" s="111">
        <f>VLOOKUP(C30,Attendance!D17:K37,8, FALSE)</f>
        <v>16</v>
      </c>
      <c r="M30" s="111" t="str">
        <f t="shared" si="1"/>
        <v>&gt;65%~&lt;=100%</v>
      </c>
      <c r="N30" s="113" t="str">
        <f t="shared" si="2"/>
        <v>Good</v>
      </c>
      <c r="O30" s="189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  <c r="AA30" s="124"/>
      <c r="AB30" s="124"/>
      <c r="AC30" s="125" t="str">
        <f t="shared" si="0"/>
        <v/>
      </c>
      <c r="AD30" s="125" t="str">
        <f t="shared" si="3"/>
        <v/>
      </c>
    </row>
    <row r="31" spans="2:30">
      <c r="B31" s="107">
        <v>6</v>
      </c>
      <c r="C31" s="109" t="s">
        <v>61</v>
      </c>
      <c r="D31" s="109" t="s">
        <v>51</v>
      </c>
      <c r="E31" s="109" t="str">
        <f>VLOOKUP(C31,Attendance!D18:M38,10, FALSE)</f>
        <v>N3</v>
      </c>
      <c r="F31" s="109" t="s">
        <v>12</v>
      </c>
      <c r="G31" s="109" t="s">
        <v>62</v>
      </c>
      <c r="H31" s="110">
        <f>VLOOKUP(C31,Attendance!D18:F38,3, FALSE)</f>
        <v>0.55000000000000004</v>
      </c>
      <c r="I31" s="111">
        <f>VLOOKUP(C31,Attendance!D18:H38,5, FALSE)</f>
        <v>9</v>
      </c>
      <c r="J31" s="111">
        <f>VLOOKUP(C31,Attendance!D18:K38,6, FALSE)</f>
        <v>0</v>
      </c>
      <c r="K31" s="111">
        <f>VLOOKUP(C31,Attendance!D18:K38,7, FALSE)</f>
        <v>0</v>
      </c>
      <c r="L31" s="111">
        <f>VLOOKUP(C31,Attendance!D18:K38,8, FALSE)</f>
        <v>11</v>
      </c>
      <c r="M31" s="111" t="str">
        <f t="shared" si="1"/>
        <v>&gt;50%~&lt;=65%</v>
      </c>
      <c r="N31" s="109" t="str">
        <f t="shared" si="2"/>
        <v>Fair</v>
      </c>
      <c r="O31" s="189"/>
      <c r="P31" s="124"/>
      <c r="Q31" s="124"/>
      <c r="R31" s="124"/>
      <c r="S31" s="124"/>
      <c r="T31" s="124"/>
      <c r="U31" s="124"/>
      <c r="V31" s="124"/>
      <c r="W31" s="124"/>
      <c r="X31" s="124"/>
      <c r="Y31" s="124"/>
      <c r="Z31" s="124"/>
      <c r="AA31" s="124"/>
      <c r="AB31" s="124"/>
      <c r="AC31" s="125" t="str">
        <f t="shared" si="0"/>
        <v/>
      </c>
      <c r="AD31" s="125" t="str">
        <f t="shared" si="3"/>
        <v/>
      </c>
    </row>
    <row r="32" spans="2:30">
      <c r="B32" s="112">
        <v>7</v>
      </c>
      <c r="C32" s="113" t="s">
        <v>63</v>
      </c>
      <c r="D32" s="113" t="s">
        <v>51</v>
      </c>
      <c r="E32" s="113" t="str">
        <f>VLOOKUP(C32,Attendance!D19:M39,10, FALSE)</f>
        <v>N3</v>
      </c>
      <c r="F32" s="109" t="s">
        <v>12</v>
      </c>
      <c r="G32" s="109" t="s">
        <v>64</v>
      </c>
      <c r="H32" s="110">
        <f>VLOOKUP(C32,Attendance!D19:F39,3, FALSE)</f>
        <v>0.95</v>
      </c>
      <c r="I32" s="111">
        <f>VLOOKUP(C32,Attendance!D19:H39,5, FALSE)</f>
        <v>0</v>
      </c>
      <c r="J32" s="111">
        <f>VLOOKUP(C32,Attendance!D19:K39,6, FALSE)</f>
        <v>0</v>
      </c>
      <c r="K32" s="111">
        <f>VLOOKUP(C32,Attendance!D19:K39,7, FALSE)</f>
        <v>1</v>
      </c>
      <c r="L32" s="111">
        <f>VLOOKUP(C32,Attendance!D19:K39,8, FALSE)</f>
        <v>19</v>
      </c>
      <c r="M32" s="111" t="str">
        <f t="shared" si="1"/>
        <v>&gt;65%~&lt;=100%</v>
      </c>
      <c r="N32" s="113" t="str">
        <f t="shared" si="2"/>
        <v>Good</v>
      </c>
      <c r="O32" s="189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24"/>
      <c r="AA32" s="124"/>
      <c r="AB32" s="126"/>
      <c r="AC32" s="125" t="str">
        <f t="shared" si="0"/>
        <v/>
      </c>
      <c r="AD32" s="125" t="str">
        <f t="shared" si="3"/>
        <v/>
      </c>
    </row>
    <row r="33" spans="2:30">
      <c r="B33" s="107">
        <v>8</v>
      </c>
      <c r="C33" s="109" t="s">
        <v>65</v>
      </c>
      <c r="D33" s="109" t="s">
        <v>51</v>
      </c>
      <c r="E33" s="109" t="str">
        <f>VLOOKUP(C33,Attendance!D20:M40,10, FALSE)</f>
        <v>N2</v>
      </c>
      <c r="F33" s="109" t="s">
        <v>12</v>
      </c>
      <c r="G33" s="109" t="s">
        <v>64</v>
      </c>
      <c r="H33" s="110">
        <f>VLOOKUP(C33,Attendance!D20:F40,3, FALSE)</f>
        <v>0.95</v>
      </c>
      <c r="I33" s="111">
        <f>VLOOKUP(C33,Attendance!D20:H40,5, FALSE)</f>
        <v>0</v>
      </c>
      <c r="J33" s="111">
        <f>VLOOKUP(C33,Attendance!D20:K40,6, FALSE)</f>
        <v>0</v>
      </c>
      <c r="K33" s="111">
        <f>VLOOKUP(C33,Attendance!D20:K40,7, FALSE)</f>
        <v>1</v>
      </c>
      <c r="L33" s="111">
        <f>VLOOKUP(C33,Attendance!D20:K40,8, FALSE)</f>
        <v>19</v>
      </c>
      <c r="M33" s="111" t="str">
        <f t="shared" si="1"/>
        <v>&gt;65%~&lt;=100%</v>
      </c>
      <c r="N33" s="109" t="str">
        <f t="shared" si="2"/>
        <v>Good</v>
      </c>
      <c r="O33" s="190"/>
      <c r="P33" s="124"/>
      <c r="Q33" s="124"/>
      <c r="R33" s="124"/>
      <c r="S33" s="124"/>
      <c r="T33" s="124"/>
      <c r="U33" s="124"/>
      <c r="V33" s="124"/>
      <c r="W33" s="124"/>
      <c r="X33" s="124"/>
      <c r="Y33" s="124"/>
      <c r="Z33" s="124"/>
      <c r="AA33" s="124"/>
      <c r="AB33" s="124"/>
      <c r="AC33" s="125" t="str">
        <f t="shared" si="0"/>
        <v/>
      </c>
      <c r="AD33" s="125" t="str">
        <f t="shared" si="3"/>
        <v/>
      </c>
    </row>
    <row r="34" spans="2:30">
      <c r="B34" s="112">
        <v>9</v>
      </c>
      <c r="C34" s="113" t="s">
        <v>66</v>
      </c>
      <c r="D34" s="113" t="s">
        <v>51</v>
      </c>
      <c r="E34" s="113" t="str">
        <f>VLOOKUP(C34,Attendance!D21:M41,10, FALSE)</f>
        <v>N2</v>
      </c>
      <c r="F34" s="113" t="s">
        <v>10</v>
      </c>
      <c r="G34" s="113" t="s">
        <v>67</v>
      </c>
      <c r="H34" s="110">
        <f>VLOOKUP(C34,Attendance!D21:F41,3, FALSE)</f>
        <v>0.6</v>
      </c>
      <c r="I34" s="111">
        <f>VLOOKUP(C34,Attendance!D21:H41,5, FALSE)</f>
        <v>4</v>
      </c>
      <c r="J34" s="111">
        <f>VLOOKUP(C34,Attendance!D21:K41,6, FALSE)</f>
        <v>0</v>
      </c>
      <c r="K34" s="111">
        <f>VLOOKUP(C34,Attendance!D21:K41,7, FALSE)</f>
        <v>4</v>
      </c>
      <c r="L34" s="111">
        <f>VLOOKUP(C34,Attendance!D21:K41,8, FALSE)</f>
        <v>12</v>
      </c>
      <c r="M34" s="111" t="str">
        <f t="shared" si="1"/>
        <v>&gt;50%~&lt;=65%</v>
      </c>
      <c r="N34" s="113" t="str">
        <f t="shared" si="2"/>
        <v>Fair</v>
      </c>
      <c r="O34" s="191" t="s">
        <v>53</v>
      </c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  <c r="AA34" s="124"/>
      <c r="AB34" s="124"/>
      <c r="AC34" s="125" t="str">
        <f t="shared" si="0"/>
        <v/>
      </c>
      <c r="AD34" s="125" t="str">
        <f t="shared" si="3"/>
        <v/>
      </c>
    </row>
    <row r="35" spans="2:30">
      <c r="B35" s="107">
        <v>10</v>
      </c>
      <c r="C35" s="108" t="s">
        <v>68</v>
      </c>
      <c r="D35" s="113" t="s">
        <v>69</v>
      </c>
      <c r="E35" s="113" t="str">
        <f>VLOOKUP(C35,Attendance!D22:M42,10, FALSE)</f>
        <v>N5</v>
      </c>
      <c r="F35" s="108" t="s">
        <v>10</v>
      </c>
      <c r="G35" s="108" t="s">
        <v>52</v>
      </c>
      <c r="H35" s="110">
        <f>VLOOKUP(C35,Attendance!D22:F42,3, FALSE)</f>
        <v>0.9</v>
      </c>
      <c r="I35" s="111">
        <f>VLOOKUP(C35,Attendance!D22:H42,5, FALSE)</f>
        <v>1</v>
      </c>
      <c r="J35" s="111">
        <f>VLOOKUP(C35,Attendance!D22:K42,6, FALSE)</f>
        <v>1</v>
      </c>
      <c r="K35" s="111">
        <f>VLOOKUP(C35,Attendance!D22:K42,7, FALSE)</f>
        <v>1</v>
      </c>
      <c r="L35" s="111">
        <f>VLOOKUP(C35,Attendance!D22:K42,8, FALSE)</f>
        <v>17</v>
      </c>
      <c r="M35" s="111" t="str">
        <f t="shared" si="1"/>
        <v>&gt;65%~&lt;=100%</v>
      </c>
      <c r="N35" s="113" t="str">
        <f t="shared" si="2"/>
        <v>Good</v>
      </c>
      <c r="O35" s="189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6"/>
      <c r="AC35" s="125" t="str">
        <f t="shared" si="0"/>
        <v/>
      </c>
      <c r="AD35" s="125" t="str">
        <f t="shared" si="3"/>
        <v/>
      </c>
    </row>
    <row r="36" spans="2:30">
      <c r="B36" s="112">
        <v>11</v>
      </c>
      <c r="C36" s="113" t="s">
        <v>70</v>
      </c>
      <c r="D36" s="113" t="s">
        <v>69</v>
      </c>
      <c r="E36" s="113" t="str">
        <f>VLOOKUP(C36,Attendance!D23:M43,10, FALSE)</f>
        <v>N4</v>
      </c>
      <c r="F36" s="113" t="s">
        <v>10</v>
      </c>
      <c r="G36" s="113" t="s">
        <v>71</v>
      </c>
      <c r="H36" s="110">
        <f>VLOOKUP(C36,Attendance!D23:F43,3, FALSE)</f>
        <v>0.95</v>
      </c>
      <c r="I36" s="111">
        <f>VLOOKUP(C36,Attendance!D23:H43,5, FALSE)</f>
        <v>1</v>
      </c>
      <c r="J36" s="111">
        <f>VLOOKUP(C36,Attendance!D23:K43,6, FALSE)</f>
        <v>0</v>
      </c>
      <c r="K36" s="111">
        <f>VLOOKUP(C36,Attendance!D23:K43,7, FALSE)</f>
        <v>0</v>
      </c>
      <c r="L36" s="111">
        <f>VLOOKUP(C36,Attendance!D23:K43,8, FALSE)</f>
        <v>19</v>
      </c>
      <c r="M36" s="111" t="str">
        <f t="shared" si="1"/>
        <v>&gt;65%~&lt;=100%</v>
      </c>
      <c r="N36" s="113" t="str">
        <f t="shared" si="2"/>
        <v>Good</v>
      </c>
      <c r="O36" s="189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5" t="str">
        <f t="shared" si="0"/>
        <v/>
      </c>
      <c r="AD36" s="125" t="str">
        <f t="shared" si="3"/>
        <v/>
      </c>
    </row>
    <row r="37" spans="2:30">
      <c r="B37" s="107">
        <v>12</v>
      </c>
      <c r="C37" s="113" t="s">
        <v>72</v>
      </c>
      <c r="D37" s="113" t="s">
        <v>69</v>
      </c>
      <c r="E37" s="113" t="str">
        <f>VLOOKUP(C37,Attendance!D24:M44,10, FALSE)</f>
        <v>N5</v>
      </c>
      <c r="F37" s="113" t="s">
        <v>10</v>
      </c>
      <c r="G37" s="113" t="s">
        <v>52</v>
      </c>
      <c r="H37" s="110">
        <f>VLOOKUP(C37,Attendance!D24:F44,3, FALSE)</f>
        <v>0.9</v>
      </c>
      <c r="I37" s="111">
        <f>VLOOKUP(C37,Attendance!D24:H44,5, FALSE)</f>
        <v>1</v>
      </c>
      <c r="J37" s="111">
        <f>VLOOKUP(C37,Attendance!D24:K44,6, FALSE)</f>
        <v>0</v>
      </c>
      <c r="K37" s="111">
        <f>VLOOKUP(C37,Attendance!D24:K44,7, FALSE)</f>
        <v>1</v>
      </c>
      <c r="L37" s="111">
        <f>VLOOKUP(C37,Attendance!D24:K44,8, FALSE)</f>
        <v>18</v>
      </c>
      <c r="M37" s="111" t="str">
        <f t="shared" si="1"/>
        <v>&gt;65%~&lt;=100%</v>
      </c>
      <c r="N37" s="113" t="str">
        <f t="shared" si="2"/>
        <v>Good</v>
      </c>
      <c r="O37" s="189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  <c r="AB37" s="124"/>
      <c r="AC37" s="125" t="str">
        <f t="shared" si="0"/>
        <v/>
      </c>
      <c r="AD37" s="125" t="str">
        <f t="shared" si="3"/>
        <v/>
      </c>
    </row>
    <row r="38" spans="2:30">
      <c r="B38" s="112">
        <v>13</v>
      </c>
      <c r="C38" s="113" t="s">
        <v>73</v>
      </c>
      <c r="D38" s="113" t="s">
        <v>69</v>
      </c>
      <c r="E38" s="113" t="str">
        <f>VLOOKUP(C38,Attendance!D25:M45,10, FALSE)</f>
        <v>N5</v>
      </c>
      <c r="F38" s="113" t="s">
        <v>10</v>
      </c>
      <c r="G38" s="113" t="s">
        <v>52</v>
      </c>
      <c r="H38" s="110">
        <f>VLOOKUP(C38,Attendance!D25:F45,3, FALSE)</f>
        <v>1</v>
      </c>
      <c r="I38" s="111">
        <f>VLOOKUP(C38,Attendance!D25:H45,5, FALSE)</f>
        <v>0</v>
      </c>
      <c r="J38" s="111">
        <f>VLOOKUP(C38,Attendance!D25:K45,6, FALSE)</f>
        <v>0</v>
      </c>
      <c r="K38" s="111">
        <f>VLOOKUP(C38,Attendance!D25:K45,7, FALSE)</f>
        <v>0</v>
      </c>
      <c r="L38" s="111">
        <f>VLOOKUP(C38,Attendance!D25:K45,8, FALSE)</f>
        <v>20</v>
      </c>
      <c r="M38" s="111" t="str">
        <f t="shared" si="1"/>
        <v>&gt;65%~&lt;=100%</v>
      </c>
      <c r="N38" s="113" t="str">
        <f t="shared" si="2"/>
        <v>Good</v>
      </c>
      <c r="O38" s="189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124"/>
      <c r="AA38" s="124"/>
      <c r="AB38" s="126"/>
      <c r="AC38" s="125" t="str">
        <f t="shared" si="0"/>
        <v/>
      </c>
      <c r="AD38" s="125" t="str">
        <f t="shared" si="3"/>
        <v/>
      </c>
    </row>
    <row r="39" spans="2:30">
      <c r="B39" s="107">
        <v>14</v>
      </c>
      <c r="C39" s="109" t="s">
        <v>74</v>
      </c>
      <c r="D39" s="113" t="s">
        <v>69</v>
      </c>
      <c r="E39" s="113" t="str">
        <f>VLOOKUP(C39,Attendance!D26:M46,10, FALSE)</f>
        <v>N5</v>
      </c>
      <c r="F39" s="109" t="s">
        <v>10</v>
      </c>
      <c r="G39" s="109" t="s">
        <v>55</v>
      </c>
      <c r="H39" s="110">
        <f>VLOOKUP(C39,Attendance!D26:F46,3, FALSE)</f>
        <v>0.8</v>
      </c>
      <c r="I39" s="111">
        <f>VLOOKUP(C39,Attendance!D26:H46,5, FALSE)</f>
        <v>2</v>
      </c>
      <c r="J39" s="111">
        <f>VLOOKUP(C39,Attendance!D26:K46,6, FALSE)</f>
        <v>0</v>
      </c>
      <c r="K39" s="111">
        <f>VLOOKUP(C39,Attendance!D26:K46,7, FALSE)</f>
        <v>2</v>
      </c>
      <c r="L39" s="111">
        <f>VLOOKUP(C39,Attendance!D26:K46,8, FALSE)</f>
        <v>16</v>
      </c>
      <c r="M39" s="111" t="str">
        <f t="shared" si="1"/>
        <v>&gt;65%~&lt;=100%</v>
      </c>
      <c r="N39" s="113" t="str">
        <f t="shared" si="2"/>
        <v>Good</v>
      </c>
      <c r="O39" s="189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  <c r="AA39" s="124"/>
      <c r="AB39" s="124"/>
      <c r="AC39" s="125" t="str">
        <f t="shared" si="0"/>
        <v/>
      </c>
      <c r="AD39" s="125" t="str">
        <f t="shared" si="3"/>
        <v/>
      </c>
    </row>
    <row r="40" spans="2:30">
      <c r="B40" s="112">
        <v>15</v>
      </c>
      <c r="C40" s="113" t="s">
        <v>75</v>
      </c>
      <c r="D40" s="113" t="s">
        <v>69</v>
      </c>
      <c r="E40" s="113" t="str">
        <f>VLOOKUP(C40,Attendance!D27:M47,10, FALSE)</f>
        <v>N5</v>
      </c>
      <c r="F40" s="113" t="s">
        <v>10</v>
      </c>
      <c r="G40" s="113" t="s">
        <v>76</v>
      </c>
      <c r="H40" s="110">
        <f>VLOOKUP(C40,Attendance!D27:F47,3, FALSE)</f>
        <v>0.95</v>
      </c>
      <c r="I40" s="111">
        <f>VLOOKUP(C40,Attendance!D27:H47,5, FALSE)</f>
        <v>1</v>
      </c>
      <c r="J40" s="111">
        <f>VLOOKUP(C40,Attendance!D27:K47,6, FALSE)</f>
        <v>0</v>
      </c>
      <c r="K40" s="111">
        <f>VLOOKUP(C40,Attendance!D27:K47,7, FALSE)</f>
        <v>0</v>
      </c>
      <c r="L40" s="111">
        <f>VLOOKUP(C40,Attendance!D27:K47,8, FALSE)</f>
        <v>19</v>
      </c>
      <c r="M40" s="111" t="str">
        <f t="shared" si="1"/>
        <v>&gt;65%~&lt;=100%</v>
      </c>
      <c r="N40" s="113" t="str">
        <f t="shared" si="2"/>
        <v>Good</v>
      </c>
      <c r="O40" s="189"/>
      <c r="P40" s="124">
        <v>3</v>
      </c>
      <c r="Q40" s="124">
        <v>3</v>
      </c>
      <c r="R40" s="124">
        <v>3</v>
      </c>
      <c r="S40" s="124">
        <v>3</v>
      </c>
      <c r="T40" s="124">
        <v>3</v>
      </c>
      <c r="U40" s="124">
        <v>3</v>
      </c>
      <c r="V40" s="124">
        <v>4</v>
      </c>
      <c r="W40" s="124">
        <v>3</v>
      </c>
      <c r="X40" s="124">
        <v>3</v>
      </c>
      <c r="Y40" s="124">
        <v>2</v>
      </c>
      <c r="Z40" s="124">
        <v>3</v>
      </c>
      <c r="AA40" s="124">
        <v>3</v>
      </c>
      <c r="AB40" s="124"/>
      <c r="AC40" s="125">
        <f t="shared" si="0"/>
        <v>3</v>
      </c>
      <c r="AD40" s="125" t="str">
        <f t="shared" si="3"/>
        <v>Developing (≤3.4)</v>
      </c>
    </row>
    <row r="41" spans="2:30">
      <c r="B41" s="107">
        <v>16</v>
      </c>
      <c r="C41" s="109" t="s">
        <v>77</v>
      </c>
      <c r="D41" s="113" t="s">
        <v>69</v>
      </c>
      <c r="E41" s="113" t="str">
        <f>VLOOKUP(C41,Attendance!D28:M48,10, FALSE)</f>
        <v>N4</v>
      </c>
      <c r="F41" s="109" t="s">
        <v>12</v>
      </c>
      <c r="G41" s="109" t="s">
        <v>78</v>
      </c>
      <c r="H41" s="110">
        <f>VLOOKUP(C41,Attendance!D28:F48,3, FALSE)</f>
        <v>0.9</v>
      </c>
      <c r="I41" s="111">
        <f>VLOOKUP(C41,Attendance!D28:H48,5, FALSE)</f>
        <v>1</v>
      </c>
      <c r="J41" s="111">
        <f>VLOOKUP(C41,Attendance!D28:K48,6, FALSE)</f>
        <v>1</v>
      </c>
      <c r="K41" s="111">
        <f>VLOOKUP(C41,Attendance!D28:K48,7, FALSE)</f>
        <v>1</v>
      </c>
      <c r="L41" s="111">
        <f>VLOOKUP(C41,Attendance!D28:K48,8, FALSE)</f>
        <v>17</v>
      </c>
      <c r="M41" s="111" t="str">
        <f t="shared" si="1"/>
        <v>&gt;65%~&lt;=100%</v>
      </c>
      <c r="N41" s="113" t="str">
        <f t="shared" si="2"/>
        <v>Good</v>
      </c>
      <c r="O41" s="189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  <c r="AA41" s="124"/>
      <c r="AB41" s="126"/>
      <c r="AC41" s="125" t="str">
        <f t="shared" si="0"/>
        <v/>
      </c>
      <c r="AD41" s="125" t="str">
        <f t="shared" si="3"/>
        <v/>
      </c>
    </row>
    <row r="42" spans="2:30">
      <c r="B42" s="112">
        <v>17</v>
      </c>
      <c r="C42" s="113" t="s">
        <v>79</v>
      </c>
      <c r="D42" s="113" t="s">
        <v>69</v>
      </c>
      <c r="E42" s="113" t="str">
        <f>VLOOKUP(C42,Attendance!D29:M49,10, FALSE)</f>
        <v>N4</v>
      </c>
      <c r="F42" s="113" t="s">
        <v>12</v>
      </c>
      <c r="G42" s="113" t="s">
        <v>78</v>
      </c>
      <c r="H42" s="110">
        <f>VLOOKUP(C42,Attendance!D29:F49,3, FALSE)</f>
        <v>0.85</v>
      </c>
      <c r="I42" s="111">
        <f>VLOOKUP(C42,Attendance!D29:H49,5, FALSE)</f>
        <v>3</v>
      </c>
      <c r="J42" s="111">
        <f>VLOOKUP(C42,Attendance!D29:K49,6, FALSE)</f>
        <v>0</v>
      </c>
      <c r="K42" s="111">
        <f>VLOOKUP(C42,Attendance!D29:K49,7, FALSE)</f>
        <v>0</v>
      </c>
      <c r="L42" s="111">
        <f>VLOOKUP(C42,Attendance!D29:K49,8, FALSE)</f>
        <v>17</v>
      </c>
      <c r="M42" s="111" t="str">
        <f t="shared" si="1"/>
        <v>&gt;65%~&lt;=100%</v>
      </c>
      <c r="N42" s="113" t="str">
        <f t="shared" si="2"/>
        <v>Good</v>
      </c>
      <c r="O42" s="189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24"/>
      <c r="AC42" s="125" t="str">
        <f t="shared" si="0"/>
        <v/>
      </c>
      <c r="AD42" s="125" t="str">
        <f t="shared" si="3"/>
        <v/>
      </c>
    </row>
    <row r="43" spans="2:30">
      <c r="B43" s="107">
        <v>18</v>
      </c>
      <c r="C43" s="108" t="s">
        <v>80</v>
      </c>
      <c r="D43" s="113" t="s">
        <v>69</v>
      </c>
      <c r="E43" s="113" t="str">
        <f>VLOOKUP(C43,Attendance!D30:M50,10, FALSE)</f>
        <v>N4</v>
      </c>
      <c r="F43" s="108" t="s">
        <v>12</v>
      </c>
      <c r="G43" s="108" t="s">
        <v>81</v>
      </c>
      <c r="H43" s="110">
        <f>VLOOKUP(C43,Attendance!D30:F50,3, FALSE)</f>
        <v>0.85</v>
      </c>
      <c r="I43" s="111">
        <f>VLOOKUP(C43,Attendance!D30:H50,5, FALSE)</f>
        <v>1</v>
      </c>
      <c r="J43" s="111">
        <f>VLOOKUP(C43,Attendance!D30:K50,6, FALSE)</f>
        <v>0</v>
      </c>
      <c r="K43" s="111">
        <f>VLOOKUP(C43,Attendance!D30:K50,7, FALSE)</f>
        <v>2</v>
      </c>
      <c r="L43" s="111">
        <f>VLOOKUP(C43,Attendance!D30:K50,8, FALSE)</f>
        <v>17</v>
      </c>
      <c r="M43" s="111" t="str">
        <f t="shared" si="1"/>
        <v>&gt;65%~&lt;=100%</v>
      </c>
      <c r="N43" s="113" t="str">
        <f t="shared" si="2"/>
        <v>Good</v>
      </c>
      <c r="O43" s="189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  <c r="AA43" s="124"/>
      <c r="AB43" s="124"/>
      <c r="AC43" s="125" t="str">
        <f t="shared" si="0"/>
        <v/>
      </c>
      <c r="AD43" s="125" t="str">
        <f t="shared" si="3"/>
        <v/>
      </c>
    </row>
    <row r="44" spans="2:30">
      <c r="B44" s="112">
        <v>19</v>
      </c>
      <c r="C44" s="113" t="s">
        <v>82</v>
      </c>
      <c r="D44" s="113" t="s">
        <v>69</v>
      </c>
      <c r="E44" s="113" t="str">
        <f>VLOOKUP(C44,Attendance!D31:M51,10, FALSE)</f>
        <v>N5</v>
      </c>
      <c r="F44" s="113" t="s">
        <v>12</v>
      </c>
      <c r="G44" s="113" t="s">
        <v>60</v>
      </c>
      <c r="H44" s="110">
        <f>VLOOKUP(C44,Attendance!D31:F51,3, FALSE)</f>
        <v>0.85</v>
      </c>
      <c r="I44" s="111">
        <f>VLOOKUP(C44,Attendance!D31:H51,5, FALSE)</f>
        <v>3</v>
      </c>
      <c r="J44" s="111">
        <f>VLOOKUP(C44,Attendance!D31:K51,6, FALSE)</f>
        <v>0</v>
      </c>
      <c r="K44" s="111">
        <f>VLOOKUP(C44,Attendance!D31:K51,7, FALSE)</f>
        <v>0</v>
      </c>
      <c r="L44" s="111">
        <f>VLOOKUP(C44,Attendance!D31:K51,8, FALSE)</f>
        <v>17</v>
      </c>
      <c r="M44" s="111" t="str">
        <f t="shared" si="1"/>
        <v>&gt;65%~&lt;=100%</v>
      </c>
      <c r="N44" s="113" t="str">
        <f t="shared" si="2"/>
        <v>Good</v>
      </c>
      <c r="O44" s="189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  <c r="AA44" s="124"/>
      <c r="AB44" s="126"/>
      <c r="AC44" s="125" t="str">
        <f t="shared" si="0"/>
        <v/>
      </c>
      <c r="AD44" s="125" t="str">
        <f t="shared" si="3"/>
        <v/>
      </c>
    </row>
    <row r="45" spans="2:30">
      <c r="B45" s="114">
        <v>20</v>
      </c>
      <c r="C45" s="115" t="s">
        <v>83</v>
      </c>
      <c r="D45" s="115" t="s">
        <v>69</v>
      </c>
      <c r="E45" s="115" t="str">
        <f>VLOOKUP(C45,Attendance!D32:M52,10, FALSE)</f>
        <v>N5</v>
      </c>
      <c r="F45" s="115" t="s">
        <v>12</v>
      </c>
      <c r="G45" s="115" t="s">
        <v>84</v>
      </c>
      <c r="H45" s="116">
        <f>VLOOKUP(C45,Attendance!D32:F52,3, FALSE)</f>
        <v>0.7</v>
      </c>
      <c r="I45" s="117">
        <f>VLOOKUP(C45,Attendance!D32:H52,5, FALSE)</f>
        <v>3</v>
      </c>
      <c r="J45" s="117">
        <f>VLOOKUP(C45,Attendance!D32:K52,6, FALSE)</f>
        <v>0</v>
      </c>
      <c r="K45" s="117">
        <f>VLOOKUP(C45,Attendance!D32:K52,7, FALSE)</f>
        <v>3</v>
      </c>
      <c r="L45" s="117">
        <f>VLOOKUP(C45,Attendance!D32:K52,8, FALSE)</f>
        <v>14</v>
      </c>
      <c r="M45" s="117" t="str">
        <f t="shared" si="1"/>
        <v>&gt;65%~&lt;=100%</v>
      </c>
      <c r="N45" s="115" t="str">
        <f t="shared" si="2"/>
        <v>Good</v>
      </c>
      <c r="O45" s="192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  <c r="AA45" s="127"/>
      <c r="AB45" s="127"/>
      <c r="AC45" s="128" t="str">
        <f t="shared" si="0"/>
        <v/>
      </c>
      <c r="AD45" s="128" t="str">
        <f t="shared" si="3"/>
        <v/>
      </c>
    </row>
  </sheetData>
  <mergeCells count="15">
    <mergeCell ref="O34:O45"/>
    <mergeCell ref="I13:K13"/>
    <mergeCell ref="I21:K21"/>
    <mergeCell ref="I22:K22"/>
    <mergeCell ref="I23:K23"/>
    <mergeCell ref="I10:K11"/>
    <mergeCell ref="I12:K12"/>
    <mergeCell ref="I14:K14"/>
    <mergeCell ref="I15:K15"/>
    <mergeCell ref="O26:O33"/>
    <mergeCell ref="I16:K16"/>
    <mergeCell ref="I17:K17"/>
    <mergeCell ref="I18:K18"/>
    <mergeCell ref="I19:K19"/>
    <mergeCell ref="I20:K20"/>
  </mergeCells>
  <conditionalFormatting sqref="H26:H45">
    <cfRule type="cellIs" dxfId="15" priority="2" operator="lessThan">
      <formula>0.7</formula>
    </cfRule>
  </conditionalFormatting>
  <conditionalFormatting sqref="O2:O24 N25:N45 O46:O1048576">
    <cfRule type="containsText" dxfId="14" priority="1" operator="containsText" text="approval">
      <formula>NOT(ISERROR(SEARCH("approval",N2)))</formula>
    </cfRule>
  </conditionalFormatting>
  <dataValidations count="1">
    <dataValidation type="list" allowBlank="1" showInputMessage="1" showErrorMessage="1" sqref="P26:AB45" xr:uid="{80FAF508-1498-49B7-B4AD-A425438A81CA}">
      <formula1>"1, 2, 3, 4, 5"</formula1>
    </dataValidation>
  </dataValidations>
  <pageMargins left="0.7" right="0.7" top="0.75" bottom="0.75" header="0.3" footer="0.3"/>
  <ignoredErrors>
    <ignoredError sqref="H26:H45 I26:I45 J26:J45 K26:K45 L26:L45 AC26:AC45 G8:J8 E26:E45" emptyCellReference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4"/>
  <sheetViews>
    <sheetView showGridLines="0" zoomScale="67" zoomScaleNormal="67" workbookViewId="0">
      <selection activeCell="F32" sqref="F32"/>
    </sheetView>
  </sheetViews>
  <sheetFormatPr defaultColWidth="14.6640625" defaultRowHeight="15.75"/>
  <cols>
    <col min="1" max="1" width="14.6640625" style="11"/>
    <col min="2" max="2" width="9.1640625" style="11" customWidth="1"/>
    <col min="3" max="3" width="30.33203125" style="11" customWidth="1"/>
    <col min="4" max="4" width="34.1640625" style="11" customWidth="1"/>
    <col min="5" max="5" width="94.1640625" style="11" customWidth="1"/>
    <col min="6" max="6" width="67.83203125" style="11" customWidth="1"/>
    <col min="7" max="7" width="21.1640625" style="11" customWidth="1"/>
    <col min="8" max="16384" width="14.6640625" style="11"/>
  </cols>
  <sheetData>
    <row r="2" spans="2:5" ht="99" customHeight="1">
      <c r="B2" s="195" t="s">
        <v>85</v>
      </c>
      <c r="C2" s="196"/>
      <c r="D2" s="196"/>
      <c r="E2" s="197"/>
    </row>
    <row r="3" spans="2:5" ht="30" customHeight="1">
      <c r="B3" s="12" t="s">
        <v>86</v>
      </c>
      <c r="C3" s="12" t="s">
        <v>87</v>
      </c>
      <c r="D3" s="12" t="s">
        <v>88</v>
      </c>
      <c r="E3" s="19" t="s">
        <v>89</v>
      </c>
    </row>
    <row r="4" spans="2:5" ht="21">
      <c r="B4" s="13">
        <v>1</v>
      </c>
      <c r="C4" s="14" t="s">
        <v>90</v>
      </c>
      <c r="D4" s="14" t="s">
        <v>91</v>
      </c>
      <c r="E4" s="15" t="s">
        <v>92</v>
      </c>
    </row>
    <row r="5" spans="2:5" ht="21">
      <c r="B5" s="13">
        <v>2</v>
      </c>
      <c r="C5" s="14" t="s">
        <v>93</v>
      </c>
      <c r="D5" s="14" t="s">
        <v>94</v>
      </c>
      <c r="E5" s="15" t="s">
        <v>95</v>
      </c>
    </row>
    <row r="6" spans="2:5" ht="21">
      <c r="B6" s="13">
        <v>3</v>
      </c>
      <c r="C6" s="14" t="s">
        <v>96</v>
      </c>
      <c r="D6" s="14" t="s">
        <v>91</v>
      </c>
      <c r="E6" s="15" t="s">
        <v>97</v>
      </c>
    </row>
    <row r="7" spans="2:5" ht="21">
      <c r="B7" s="13">
        <v>4</v>
      </c>
      <c r="C7" s="14" t="s">
        <v>98</v>
      </c>
      <c r="D7" s="14" t="s">
        <v>94</v>
      </c>
      <c r="E7" s="20" t="s">
        <v>95</v>
      </c>
    </row>
    <row r="8" spans="2:5" ht="21">
      <c r="B8" s="13">
        <v>5</v>
      </c>
      <c r="C8" s="14" t="s">
        <v>99</v>
      </c>
      <c r="D8" s="14" t="s">
        <v>91</v>
      </c>
      <c r="E8" s="15" t="s">
        <v>100</v>
      </c>
    </row>
    <row r="9" spans="2:5" ht="21">
      <c r="B9" s="13">
        <v>6</v>
      </c>
      <c r="C9" s="14" t="s">
        <v>101</v>
      </c>
      <c r="D9" s="14" t="s">
        <v>94</v>
      </c>
      <c r="E9" s="20" t="s">
        <v>95</v>
      </c>
    </row>
    <row r="10" spans="2:5" ht="21">
      <c r="B10" s="13">
        <v>7</v>
      </c>
      <c r="C10" s="14" t="s">
        <v>102</v>
      </c>
      <c r="D10" s="14" t="s">
        <v>91</v>
      </c>
      <c r="E10" s="15" t="s">
        <v>103</v>
      </c>
    </row>
    <row r="11" spans="2:5" ht="21">
      <c r="B11" s="13">
        <v>8</v>
      </c>
      <c r="C11" s="14" t="s">
        <v>104</v>
      </c>
      <c r="D11" s="14" t="s">
        <v>94</v>
      </c>
      <c r="E11" s="20" t="s">
        <v>95</v>
      </c>
    </row>
    <row r="12" spans="2:5" ht="21">
      <c r="B12" s="13">
        <v>9</v>
      </c>
      <c r="C12" s="14" t="s">
        <v>105</v>
      </c>
      <c r="D12" s="14" t="s">
        <v>91</v>
      </c>
      <c r="E12" s="16" t="s">
        <v>106</v>
      </c>
    </row>
    <row r="13" spans="2:5" ht="21">
      <c r="B13" s="13">
        <v>10</v>
      </c>
      <c r="C13" s="14" t="s">
        <v>107</v>
      </c>
      <c r="D13" s="14" t="s">
        <v>94</v>
      </c>
      <c r="E13" s="20" t="s">
        <v>95</v>
      </c>
    </row>
    <row r="14" spans="2:5" ht="21">
      <c r="B14" s="13">
        <v>11</v>
      </c>
      <c r="C14" s="14" t="s">
        <v>108</v>
      </c>
      <c r="D14" s="14" t="s">
        <v>91</v>
      </c>
      <c r="E14" s="16" t="s">
        <v>109</v>
      </c>
    </row>
    <row r="15" spans="2:5" ht="21">
      <c r="B15" s="13">
        <v>12</v>
      </c>
      <c r="C15" s="14" t="s">
        <v>110</v>
      </c>
      <c r="D15" s="14" t="s">
        <v>94</v>
      </c>
      <c r="E15" s="20" t="s">
        <v>95</v>
      </c>
    </row>
    <row r="16" spans="2:5" ht="21">
      <c r="B16" s="13">
        <v>13</v>
      </c>
      <c r="C16" s="14" t="s">
        <v>111</v>
      </c>
      <c r="D16" s="14" t="s">
        <v>91</v>
      </c>
      <c r="E16" s="16" t="s">
        <v>112</v>
      </c>
    </row>
    <row r="17" spans="2:5" ht="21">
      <c r="B17" s="13">
        <v>14</v>
      </c>
      <c r="C17" s="17" t="s">
        <v>113</v>
      </c>
      <c r="D17" s="14" t="s">
        <v>94</v>
      </c>
      <c r="E17" s="20" t="s">
        <v>95</v>
      </c>
    </row>
    <row r="18" spans="2:5" ht="21">
      <c r="B18" s="13">
        <v>15</v>
      </c>
      <c r="C18" s="17" t="s">
        <v>114</v>
      </c>
      <c r="D18" s="14" t="s">
        <v>91</v>
      </c>
      <c r="E18" s="16" t="s">
        <v>115</v>
      </c>
    </row>
    <row r="19" spans="2:5" ht="21">
      <c r="B19" s="13">
        <v>16</v>
      </c>
      <c r="C19" s="17" t="s">
        <v>116</v>
      </c>
      <c r="D19" s="14" t="s">
        <v>94</v>
      </c>
      <c r="E19" s="20" t="s">
        <v>95</v>
      </c>
    </row>
    <row r="20" spans="2:5" ht="21">
      <c r="B20" s="13">
        <v>17</v>
      </c>
      <c r="C20" s="17" t="s">
        <v>117</v>
      </c>
      <c r="D20" s="14" t="s">
        <v>91</v>
      </c>
      <c r="E20" s="16" t="s">
        <v>118</v>
      </c>
    </row>
    <row r="21" spans="2:5" ht="21">
      <c r="B21" s="13">
        <v>18</v>
      </c>
      <c r="C21" s="17" t="s">
        <v>119</v>
      </c>
      <c r="D21" s="14" t="s">
        <v>94</v>
      </c>
      <c r="E21" s="20" t="s">
        <v>95</v>
      </c>
    </row>
    <row r="22" spans="2:5" ht="21">
      <c r="B22" s="13">
        <v>19</v>
      </c>
      <c r="C22" s="17" t="s">
        <v>120</v>
      </c>
      <c r="D22" s="14" t="s">
        <v>91</v>
      </c>
      <c r="E22" s="16" t="s">
        <v>121</v>
      </c>
    </row>
    <row r="23" spans="2:5" ht="21">
      <c r="B23" s="13">
        <v>20</v>
      </c>
      <c r="C23" s="17" t="s">
        <v>122</v>
      </c>
      <c r="D23" s="14" t="s">
        <v>94</v>
      </c>
      <c r="E23" s="15" t="s">
        <v>123</v>
      </c>
    </row>
    <row r="24" spans="2:5" ht="18.75">
      <c r="B24" s="18"/>
      <c r="C24" s="18" t="s">
        <v>124</v>
      </c>
      <c r="D24" s="18"/>
      <c r="E24" s="18"/>
    </row>
  </sheetData>
  <mergeCells count="1">
    <mergeCell ref="B2:E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J33"/>
  <sheetViews>
    <sheetView showGridLines="0" topLeftCell="A3" zoomScaleNormal="100" workbookViewId="0">
      <selection activeCell="L38" sqref="L38"/>
    </sheetView>
  </sheetViews>
  <sheetFormatPr defaultColWidth="9" defaultRowHeight="12.75" outlineLevelCol="1"/>
  <cols>
    <col min="1" max="1" width="3.6640625" customWidth="1"/>
    <col min="2" max="2" width="4.6640625" customWidth="1"/>
    <col min="3" max="3" width="6.6640625" customWidth="1"/>
    <col min="4" max="4" width="14" customWidth="1"/>
    <col min="5" max="5" width="10.83203125" customWidth="1"/>
    <col min="6" max="6" width="8" customWidth="1"/>
    <col min="7" max="7" width="10.5" customWidth="1"/>
    <col min="8" max="8" width="11.33203125" customWidth="1"/>
    <col min="9" max="9" width="9.83203125" customWidth="1"/>
    <col min="10" max="10" width="8.1640625" customWidth="1"/>
    <col min="11" max="11" width="13.1640625" customWidth="1"/>
    <col min="12" max="12" width="11.33203125" customWidth="1"/>
    <col min="13" max="13" width="9.33203125" customWidth="1"/>
    <col min="14" max="14" width="12.6640625" customWidth="1"/>
    <col min="15" max="15" width="6.83203125" hidden="1" customWidth="1" outlineLevel="1"/>
    <col min="16" max="17" width="7.1640625" hidden="1" customWidth="1" outlineLevel="1"/>
    <col min="18" max="18" width="8" hidden="1" customWidth="1" outlineLevel="1"/>
    <col min="19" max="19" width="8" customWidth="1" collapsed="1"/>
    <col min="20" max="22" width="7.83203125" hidden="1" customWidth="1" outlineLevel="1"/>
    <col min="23" max="23" width="7.83203125" customWidth="1" collapsed="1"/>
    <col min="24" max="26" width="7.83203125" hidden="1" customWidth="1" outlineLevel="1"/>
    <col min="27" max="28" width="6.83203125" hidden="1" customWidth="1" outlineLevel="1"/>
    <col min="29" max="30" width="7.1640625" hidden="1" customWidth="1" outlineLevel="1"/>
    <col min="31" max="31" width="7.1640625" customWidth="1" collapsed="1"/>
    <col min="32" max="35" width="7.1640625" customWidth="1"/>
    <col min="36" max="36" width="7.83203125" customWidth="1"/>
  </cols>
  <sheetData>
    <row r="2" spans="2:36" ht="15.75">
      <c r="B2" s="1" t="s">
        <v>125</v>
      </c>
    </row>
    <row r="3" spans="2:36" ht="15.75">
      <c r="B3" s="1" t="s">
        <v>126</v>
      </c>
      <c r="C3" s="3"/>
      <c r="G3" s="2"/>
      <c r="I3" s="2"/>
      <c r="J3" s="2"/>
      <c r="K3" s="2"/>
      <c r="L3" s="2"/>
      <c r="M3" s="2"/>
      <c r="N3" s="2"/>
    </row>
    <row r="4" spans="2:36" ht="13.5">
      <c r="B4" s="200" t="s">
        <v>127</v>
      </c>
      <c r="C4" s="201"/>
      <c r="D4" s="202"/>
      <c r="E4" s="89" t="s">
        <v>128</v>
      </c>
      <c r="F4" s="212" t="s">
        <v>129</v>
      </c>
      <c r="G4" s="213"/>
      <c r="H4" s="89" t="s">
        <v>130</v>
      </c>
      <c r="I4" s="89" t="s">
        <v>131</v>
      </c>
      <c r="M4" t="s">
        <v>132</v>
      </c>
      <c r="N4" s="221">
        <v>46018</v>
      </c>
      <c r="O4" s="221"/>
    </row>
    <row r="5" spans="2:36" ht="13.5">
      <c r="B5" s="203"/>
      <c r="C5" s="204"/>
      <c r="D5" s="205"/>
      <c r="E5" s="90" t="s">
        <v>133</v>
      </c>
      <c r="F5" s="90" t="s">
        <v>134</v>
      </c>
      <c r="G5" s="90" t="s">
        <v>135</v>
      </c>
      <c r="H5" s="90" t="s">
        <v>136</v>
      </c>
      <c r="I5" s="90" t="s">
        <v>137</v>
      </c>
      <c r="M5" t="s">
        <v>138</v>
      </c>
      <c r="N5" s="222">
        <v>46089</v>
      </c>
      <c r="O5" s="222"/>
    </row>
    <row r="6" spans="2:36" ht="13.5">
      <c r="B6" s="206" t="s">
        <v>139</v>
      </c>
      <c r="C6" s="207"/>
      <c r="D6" s="208"/>
      <c r="E6" s="86" t="s">
        <v>140</v>
      </c>
      <c r="F6" s="198">
        <f>COUNTA(O11:AH11)</f>
        <v>20</v>
      </c>
      <c r="G6" s="198">
        <f>COUNTA(O13:AJ13)</f>
        <v>20</v>
      </c>
      <c r="H6" s="87">
        <f>AVERAGE(G13:G21)</f>
        <v>0.83888888888888891</v>
      </c>
      <c r="I6" s="85">
        <f>COUNTA(D13:D21)</f>
        <v>9</v>
      </c>
    </row>
    <row r="7" spans="2:36" ht="13.5">
      <c r="B7" s="209"/>
      <c r="C7" s="210"/>
      <c r="D7" s="211"/>
      <c r="E7" s="86" t="s">
        <v>141</v>
      </c>
      <c r="F7" s="199"/>
      <c r="G7" s="199"/>
      <c r="H7" s="88">
        <f>AVERAGE(G23:G33)</f>
        <v>0.87727272727272709</v>
      </c>
      <c r="I7" s="85">
        <f>COUNTA(D23:D33)</f>
        <v>11</v>
      </c>
      <c r="J7" s="5"/>
      <c r="K7" s="5"/>
      <c r="L7" s="6"/>
      <c r="M7" s="6"/>
      <c r="N7" s="6"/>
    </row>
    <row r="8" spans="2:36" ht="13.5">
      <c r="B8" s="93"/>
      <c r="C8" s="94"/>
      <c r="D8" s="94"/>
      <c r="E8" s="94"/>
      <c r="F8" s="94"/>
      <c r="G8" s="91"/>
      <c r="H8" s="95" t="s">
        <v>134</v>
      </c>
      <c r="I8" s="92">
        <f>SUM(I6:I7)</f>
        <v>20</v>
      </c>
      <c r="J8" s="5"/>
      <c r="K8" s="5"/>
      <c r="L8" s="6"/>
      <c r="M8" s="6"/>
      <c r="N8" s="6"/>
    </row>
    <row r="9" spans="2:36" ht="14.25" thickBot="1">
      <c r="B9" s="4"/>
      <c r="C9" s="5"/>
      <c r="D9" s="5"/>
      <c r="E9" s="84"/>
      <c r="F9" s="6"/>
      <c r="G9" s="6"/>
      <c r="H9" s="6"/>
      <c r="I9" s="5"/>
      <c r="J9" s="5"/>
      <c r="K9" s="5"/>
      <c r="L9" s="6"/>
      <c r="M9" s="6"/>
      <c r="N9" s="6"/>
      <c r="AE9" s="218" t="s">
        <v>142</v>
      </c>
      <c r="AF9" s="218"/>
      <c r="AI9" s="218" t="s">
        <v>143</v>
      </c>
      <c r="AJ9" s="218"/>
    </row>
    <row r="10" spans="2:36" ht="28.5" customHeight="1">
      <c r="B10" s="216" t="s">
        <v>86</v>
      </c>
      <c r="C10" s="216"/>
      <c r="D10" s="216" t="s">
        <v>22</v>
      </c>
      <c r="E10" s="216" t="s">
        <v>23</v>
      </c>
      <c r="F10" s="216" t="s">
        <v>144</v>
      </c>
      <c r="G10" s="216" t="s">
        <v>145</v>
      </c>
      <c r="H10" s="216" t="s">
        <v>146</v>
      </c>
      <c r="I10" s="216" t="s">
        <v>147</v>
      </c>
      <c r="J10" s="216" t="s">
        <v>148</v>
      </c>
      <c r="K10" s="216" t="s">
        <v>149</v>
      </c>
      <c r="L10" s="214" t="s">
        <v>150</v>
      </c>
      <c r="M10" s="215"/>
      <c r="N10" s="219" t="s">
        <v>151</v>
      </c>
      <c r="O10" s="71" t="s">
        <v>152</v>
      </c>
      <c r="P10" s="57" t="s">
        <v>153</v>
      </c>
      <c r="Q10" s="57" t="s">
        <v>154</v>
      </c>
      <c r="R10" s="57" t="s">
        <v>155</v>
      </c>
      <c r="S10" s="57" t="s">
        <v>156</v>
      </c>
      <c r="T10" s="57" t="s">
        <v>157</v>
      </c>
      <c r="U10" s="57" t="s">
        <v>158</v>
      </c>
      <c r="V10" s="57" t="s">
        <v>159</v>
      </c>
      <c r="W10" s="57" t="s">
        <v>160</v>
      </c>
      <c r="X10" s="57" t="s">
        <v>161</v>
      </c>
      <c r="Y10" s="57" t="s">
        <v>162</v>
      </c>
      <c r="Z10" s="57" t="s">
        <v>163</v>
      </c>
      <c r="AA10" s="57" t="s">
        <v>164</v>
      </c>
      <c r="AB10" s="57" t="s">
        <v>165</v>
      </c>
      <c r="AC10" s="57" t="s">
        <v>166</v>
      </c>
      <c r="AD10" s="57" t="s">
        <v>167</v>
      </c>
      <c r="AE10" s="57" t="s">
        <v>168</v>
      </c>
      <c r="AF10" s="57" t="s">
        <v>169</v>
      </c>
      <c r="AG10" s="57" t="s">
        <v>170</v>
      </c>
      <c r="AH10" s="57" t="s">
        <v>171</v>
      </c>
      <c r="AI10" s="59" t="s">
        <v>172</v>
      </c>
      <c r="AJ10" s="59" t="s">
        <v>173</v>
      </c>
    </row>
    <row r="11" spans="2:36" ht="26.25" customHeight="1" thickBot="1"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8" t="s">
        <v>174</v>
      </c>
      <c r="M11" s="73" t="s">
        <v>175</v>
      </c>
      <c r="N11" s="220"/>
      <c r="O11" s="72" t="s">
        <v>176</v>
      </c>
      <c r="P11" s="58" t="s">
        <v>93</v>
      </c>
      <c r="Q11" s="58" t="s">
        <v>96</v>
      </c>
      <c r="R11" s="58" t="s">
        <v>98</v>
      </c>
      <c r="S11" s="58" t="s">
        <v>99</v>
      </c>
      <c r="T11" s="58" t="s">
        <v>101</v>
      </c>
      <c r="U11" s="58" t="s">
        <v>102</v>
      </c>
      <c r="V11" s="58" t="s">
        <v>104</v>
      </c>
      <c r="W11" s="58" t="s">
        <v>105</v>
      </c>
      <c r="X11" s="58" t="s">
        <v>107</v>
      </c>
      <c r="Y11" s="58" t="s">
        <v>108</v>
      </c>
      <c r="Z11" s="58" t="s">
        <v>110</v>
      </c>
      <c r="AA11" s="58" t="s">
        <v>111</v>
      </c>
      <c r="AB11" s="58" t="s">
        <v>113</v>
      </c>
      <c r="AC11" s="58" t="s">
        <v>114</v>
      </c>
      <c r="AD11" s="58" t="s">
        <v>116</v>
      </c>
      <c r="AE11" s="58" t="s">
        <v>117</v>
      </c>
      <c r="AF11" s="58" t="s">
        <v>119</v>
      </c>
      <c r="AG11" s="58" t="s">
        <v>120</v>
      </c>
      <c r="AH11" s="58" t="s">
        <v>122</v>
      </c>
      <c r="AI11" s="58" t="s">
        <v>177</v>
      </c>
      <c r="AJ11" s="58" t="s">
        <v>178</v>
      </c>
    </row>
    <row r="12" spans="2:36" s="70" customFormat="1" ht="21.75" customHeight="1">
      <c r="B12" s="22" t="s">
        <v>179</v>
      </c>
      <c r="C12" s="21"/>
      <c r="D12" s="21"/>
      <c r="E12" s="68" t="s">
        <v>180</v>
      </c>
      <c r="F12" s="21"/>
      <c r="G12" s="21"/>
      <c r="H12" s="21"/>
      <c r="I12" s="21"/>
      <c r="J12" s="21"/>
      <c r="K12" s="21"/>
      <c r="L12" s="64"/>
      <c r="M12" s="65"/>
      <c r="N12" s="65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</row>
    <row r="13" spans="2:36">
      <c r="B13" s="7">
        <v>1</v>
      </c>
      <c r="C13" s="7" t="s">
        <v>181</v>
      </c>
      <c r="D13" s="96" t="s">
        <v>50</v>
      </c>
      <c r="E13" s="56" t="s">
        <v>51</v>
      </c>
      <c r="F13" s="77">
        <f t="shared" ref="F13:F21" si="0">IF($F$6&gt;0,(K13+I13)/$F$6,0)</f>
        <v>1</v>
      </c>
      <c r="G13" s="77">
        <f t="shared" ref="G13:G21" si="1">IF($G$6&gt;0,(K13+I13)/$G$6,0)</f>
        <v>1</v>
      </c>
      <c r="H13" s="78">
        <f t="shared" ref="H13:H21" si="2">COUNTIF(O13:AJ13,"L")</f>
        <v>0</v>
      </c>
      <c r="I13" s="78">
        <f t="shared" ref="I13:I21" si="3">COUNTIF(O13:AJ13,"Late")</f>
        <v>0</v>
      </c>
      <c r="J13" s="78">
        <f t="shared" ref="J13:J21" si="4">COUNTIF(O13:AJ13,"Absent")</f>
        <v>0</v>
      </c>
      <c r="K13" s="79">
        <f t="shared" ref="K13:K21" si="5">COUNTIF(O13:AJ13,"A")</f>
        <v>20</v>
      </c>
      <c r="L13" s="9" t="s">
        <v>182</v>
      </c>
      <c r="M13" s="61" t="s">
        <v>183</v>
      </c>
      <c r="N13" s="61"/>
      <c r="O13" s="60" t="s">
        <v>184</v>
      </c>
      <c r="P13" s="10" t="s">
        <v>184</v>
      </c>
      <c r="Q13" s="10" t="s">
        <v>184</v>
      </c>
      <c r="R13" s="10" t="s">
        <v>184</v>
      </c>
      <c r="S13" s="10" t="s">
        <v>184</v>
      </c>
      <c r="T13" s="10" t="s">
        <v>184</v>
      </c>
      <c r="U13" s="10" t="s">
        <v>184</v>
      </c>
      <c r="V13" s="10" t="s">
        <v>184</v>
      </c>
      <c r="W13" s="10" t="s">
        <v>184</v>
      </c>
      <c r="X13" s="10" t="s">
        <v>184</v>
      </c>
      <c r="Y13" s="10" t="s">
        <v>184</v>
      </c>
      <c r="Z13" s="10" t="s">
        <v>184</v>
      </c>
      <c r="AA13" s="10" t="s">
        <v>184</v>
      </c>
      <c r="AB13" s="10" t="s">
        <v>184</v>
      </c>
      <c r="AC13" s="10" t="s">
        <v>184</v>
      </c>
      <c r="AD13" s="10" t="s">
        <v>184</v>
      </c>
      <c r="AE13" s="81"/>
      <c r="AF13" s="81"/>
      <c r="AG13" s="10" t="s">
        <v>184</v>
      </c>
      <c r="AH13" s="10" t="s">
        <v>184</v>
      </c>
      <c r="AI13" s="10" t="s">
        <v>184</v>
      </c>
      <c r="AJ13" s="10" t="s">
        <v>184</v>
      </c>
    </row>
    <row r="14" spans="2:36">
      <c r="B14" s="7">
        <v>2</v>
      </c>
      <c r="C14" s="7" t="s">
        <v>181</v>
      </c>
      <c r="D14" s="96" t="s">
        <v>54</v>
      </c>
      <c r="E14" s="56" t="s">
        <v>51</v>
      </c>
      <c r="F14" s="77">
        <f t="shared" si="0"/>
        <v>0.8</v>
      </c>
      <c r="G14" s="77">
        <f t="shared" si="1"/>
        <v>0.8</v>
      </c>
      <c r="H14" s="78">
        <f t="shared" si="2"/>
        <v>4</v>
      </c>
      <c r="I14" s="78">
        <f t="shared" si="3"/>
        <v>0</v>
      </c>
      <c r="J14" s="78">
        <f t="shared" si="4"/>
        <v>0</v>
      </c>
      <c r="K14" s="79">
        <f t="shared" si="5"/>
        <v>16</v>
      </c>
      <c r="L14" s="9" t="s">
        <v>185</v>
      </c>
      <c r="M14" s="61" t="s">
        <v>183</v>
      </c>
      <c r="N14" s="61" t="s">
        <v>183</v>
      </c>
      <c r="O14" s="60" t="s">
        <v>184</v>
      </c>
      <c r="P14" s="10" t="s">
        <v>184</v>
      </c>
      <c r="Q14" s="10" t="s">
        <v>184</v>
      </c>
      <c r="R14" s="10" t="s">
        <v>184</v>
      </c>
      <c r="S14" s="10" t="s">
        <v>184</v>
      </c>
      <c r="T14" s="75" t="s">
        <v>186</v>
      </c>
      <c r="U14" s="10" t="s">
        <v>184</v>
      </c>
      <c r="V14" s="10" t="s">
        <v>184</v>
      </c>
      <c r="W14" s="10" t="s">
        <v>184</v>
      </c>
      <c r="X14" s="10" t="s">
        <v>184</v>
      </c>
      <c r="Y14" s="10" t="s">
        <v>184</v>
      </c>
      <c r="Z14" s="10" t="s">
        <v>184</v>
      </c>
      <c r="AA14" s="83" t="s">
        <v>186</v>
      </c>
      <c r="AB14" s="83" t="s">
        <v>186</v>
      </c>
      <c r="AC14" s="83" t="s">
        <v>186</v>
      </c>
      <c r="AD14" s="10" t="s">
        <v>184</v>
      </c>
      <c r="AE14" s="81"/>
      <c r="AF14" s="81"/>
      <c r="AG14" s="10" t="s">
        <v>184</v>
      </c>
      <c r="AH14" s="10" t="s">
        <v>184</v>
      </c>
      <c r="AI14" s="10" t="s">
        <v>184</v>
      </c>
      <c r="AJ14" s="10" t="s">
        <v>184</v>
      </c>
    </row>
    <row r="15" spans="2:36">
      <c r="B15" s="7">
        <v>3</v>
      </c>
      <c r="C15" s="7" t="s">
        <v>187</v>
      </c>
      <c r="D15" s="96" t="s">
        <v>56</v>
      </c>
      <c r="E15" s="56" t="s">
        <v>51</v>
      </c>
      <c r="F15" s="77">
        <f t="shared" si="0"/>
        <v>0.95</v>
      </c>
      <c r="G15" s="77">
        <f t="shared" si="1"/>
        <v>0.95</v>
      </c>
      <c r="H15" s="78">
        <f t="shared" si="2"/>
        <v>1</v>
      </c>
      <c r="I15" s="78">
        <f t="shared" si="3"/>
        <v>0</v>
      </c>
      <c r="J15" s="78">
        <f t="shared" si="4"/>
        <v>0</v>
      </c>
      <c r="K15" s="79">
        <f t="shared" si="5"/>
        <v>19</v>
      </c>
      <c r="L15" s="9" t="s">
        <v>188</v>
      </c>
      <c r="M15" s="61" t="s">
        <v>189</v>
      </c>
      <c r="N15" s="61"/>
      <c r="O15" s="60" t="s">
        <v>184</v>
      </c>
      <c r="P15" s="10" t="s">
        <v>184</v>
      </c>
      <c r="Q15" s="10" t="s">
        <v>184</v>
      </c>
      <c r="R15" s="10" t="s">
        <v>184</v>
      </c>
      <c r="S15" s="10" t="s">
        <v>184</v>
      </c>
      <c r="T15" s="10" t="s">
        <v>184</v>
      </c>
      <c r="U15" s="10" t="s">
        <v>184</v>
      </c>
      <c r="V15" s="10" t="s">
        <v>184</v>
      </c>
      <c r="W15" s="10" t="s">
        <v>184</v>
      </c>
      <c r="X15" s="83" t="s">
        <v>186</v>
      </c>
      <c r="Y15" s="10" t="s">
        <v>184</v>
      </c>
      <c r="Z15" s="10" t="s">
        <v>184</v>
      </c>
      <c r="AA15" s="10" t="s">
        <v>184</v>
      </c>
      <c r="AB15" s="10" t="s">
        <v>184</v>
      </c>
      <c r="AC15" s="10" t="s">
        <v>184</v>
      </c>
      <c r="AD15" s="10" t="s">
        <v>184</v>
      </c>
      <c r="AE15" s="81"/>
      <c r="AF15" s="81"/>
      <c r="AG15" s="10" t="s">
        <v>184</v>
      </c>
      <c r="AH15" s="10" t="s">
        <v>184</v>
      </c>
      <c r="AI15" s="10" t="s">
        <v>184</v>
      </c>
      <c r="AJ15" s="10" t="s">
        <v>184</v>
      </c>
    </row>
    <row r="16" spans="2:36">
      <c r="B16" s="7">
        <v>4</v>
      </c>
      <c r="C16" s="7" t="s">
        <v>187</v>
      </c>
      <c r="D16" s="96" t="s">
        <v>58</v>
      </c>
      <c r="E16" s="56" t="s">
        <v>51</v>
      </c>
      <c r="F16" s="77">
        <f t="shared" si="0"/>
        <v>0.95</v>
      </c>
      <c r="G16" s="77">
        <f t="shared" si="1"/>
        <v>0.95</v>
      </c>
      <c r="H16" s="78">
        <f t="shared" si="2"/>
        <v>1</v>
      </c>
      <c r="I16" s="78">
        <f t="shared" si="3"/>
        <v>0</v>
      </c>
      <c r="J16" s="78">
        <f t="shared" si="4"/>
        <v>0</v>
      </c>
      <c r="K16" s="79">
        <f t="shared" si="5"/>
        <v>19</v>
      </c>
      <c r="L16" s="9" t="s">
        <v>185</v>
      </c>
      <c r="M16" s="61" t="s">
        <v>183</v>
      </c>
      <c r="N16" s="61" t="s">
        <v>183</v>
      </c>
      <c r="O16" s="60" t="s">
        <v>184</v>
      </c>
      <c r="P16" s="10" t="s">
        <v>184</v>
      </c>
      <c r="Q16" s="10" t="s">
        <v>184</v>
      </c>
      <c r="R16" s="10" t="s">
        <v>184</v>
      </c>
      <c r="S16" s="10" t="s">
        <v>184</v>
      </c>
      <c r="T16" s="10" t="s">
        <v>184</v>
      </c>
      <c r="U16" s="10" t="s">
        <v>184</v>
      </c>
      <c r="V16" s="10" t="s">
        <v>184</v>
      </c>
      <c r="W16" s="10" t="s">
        <v>184</v>
      </c>
      <c r="X16" s="10" t="s">
        <v>184</v>
      </c>
      <c r="Y16" s="10" t="s">
        <v>184</v>
      </c>
      <c r="Z16" s="10" t="s">
        <v>184</v>
      </c>
      <c r="AA16" s="10" t="s">
        <v>184</v>
      </c>
      <c r="AB16" s="83" t="s">
        <v>186</v>
      </c>
      <c r="AC16" s="10" t="s">
        <v>184</v>
      </c>
      <c r="AD16" s="10" t="s">
        <v>184</v>
      </c>
      <c r="AE16" s="81"/>
      <c r="AF16" s="81"/>
      <c r="AG16" s="10" t="s">
        <v>184</v>
      </c>
      <c r="AH16" s="10" t="s">
        <v>184</v>
      </c>
      <c r="AI16" s="10" t="s">
        <v>184</v>
      </c>
      <c r="AJ16" s="10" t="s">
        <v>184</v>
      </c>
    </row>
    <row r="17" spans="2:36">
      <c r="B17" s="7">
        <v>5</v>
      </c>
      <c r="C17" s="7"/>
      <c r="D17" s="56" t="s">
        <v>59</v>
      </c>
      <c r="E17" s="56" t="s">
        <v>51</v>
      </c>
      <c r="F17" s="77">
        <f t="shared" si="0"/>
        <v>0.8</v>
      </c>
      <c r="G17" s="77">
        <f t="shared" si="1"/>
        <v>0.8</v>
      </c>
      <c r="H17" s="78">
        <f t="shared" si="2"/>
        <v>4</v>
      </c>
      <c r="I17" s="78">
        <f t="shared" si="3"/>
        <v>0</v>
      </c>
      <c r="J17" s="78">
        <f t="shared" si="4"/>
        <v>0</v>
      </c>
      <c r="K17" s="79">
        <f t="shared" si="5"/>
        <v>16</v>
      </c>
      <c r="L17" s="9" t="s">
        <v>182</v>
      </c>
      <c r="M17" s="61" t="s">
        <v>183</v>
      </c>
      <c r="N17" s="61" t="s">
        <v>189</v>
      </c>
      <c r="O17" s="60" t="s">
        <v>184</v>
      </c>
      <c r="P17" s="10" t="s">
        <v>184</v>
      </c>
      <c r="Q17" s="10" t="s">
        <v>184</v>
      </c>
      <c r="R17" s="10" t="s">
        <v>184</v>
      </c>
      <c r="S17" s="10" t="s">
        <v>184</v>
      </c>
      <c r="T17" s="10" t="s">
        <v>184</v>
      </c>
      <c r="U17" s="10" t="s">
        <v>184</v>
      </c>
      <c r="V17" s="10" t="s">
        <v>184</v>
      </c>
      <c r="W17" s="10" t="s">
        <v>184</v>
      </c>
      <c r="X17" s="10" t="s">
        <v>184</v>
      </c>
      <c r="Y17" s="83" t="s">
        <v>186</v>
      </c>
      <c r="Z17" s="83" t="s">
        <v>186</v>
      </c>
      <c r="AA17" s="10" t="s">
        <v>184</v>
      </c>
      <c r="AB17" s="10" t="s">
        <v>184</v>
      </c>
      <c r="AC17" s="83" t="s">
        <v>186</v>
      </c>
      <c r="AD17" s="83" t="s">
        <v>186</v>
      </c>
      <c r="AE17" s="81"/>
      <c r="AF17" s="81"/>
      <c r="AG17" s="10" t="s">
        <v>184</v>
      </c>
      <c r="AH17" s="10" t="s">
        <v>184</v>
      </c>
      <c r="AI17" s="10" t="s">
        <v>184</v>
      </c>
      <c r="AJ17" s="10" t="s">
        <v>184</v>
      </c>
    </row>
    <row r="18" spans="2:36">
      <c r="B18" s="7">
        <v>6</v>
      </c>
      <c r="C18" s="7"/>
      <c r="D18" s="56" t="s">
        <v>61</v>
      </c>
      <c r="E18" s="56" t="s">
        <v>51</v>
      </c>
      <c r="F18" s="77">
        <f t="shared" si="0"/>
        <v>0.55000000000000004</v>
      </c>
      <c r="G18" s="77">
        <f t="shared" si="1"/>
        <v>0.55000000000000004</v>
      </c>
      <c r="H18" s="78">
        <f t="shared" si="2"/>
        <v>9</v>
      </c>
      <c r="I18" s="78">
        <f t="shared" si="3"/>
        <v>0</v>
      </c>
      <c r="J18" s="78">
        <f t="shared" si="4"/>
        <v>0</v>
      </c>
      <c r="K18" s="79">
        <f t="shared" si="5"/>
        <v>11</v>
      </c>
      <c r="L18" s="9" t="s">
        <v>182</v>
      </c>
      <c r="M18" s="61" t="s">
        <v>183</v>
      </c>
      <c r="N18" s="61"/>
      <c r="O18" s="74" t="s">
        <v>186</v>
      </c>
      <c r="P18" s="10" t="s">
        <v>186</v>
      </c>
      <c r="Q18" s="10" t="s">
        <v>184</v>
      </c>
      <c r="R18" s="10" t="s">
        <v>184</v>
      </c>
      <c r="S18" s="10" t="s">
        <v>184</v>
      </c>
      <c r="T18" s="10" t="s">
        <v>186</v>
      </c>
      <c r="U18" s="10" t="s">
        <v>184</v>
      </c>
      <c r="V18" s="10" t="s">
        <v>184</v>
      </c>
      <c r="W18" s="10" t="s">
        <v>184</v>
      </c>
      <c r="X18" s="83" t="s">
        <v>186</v>
      </c>
      <c r="Y18" s="10" t="s">
        <v>184</v>
      </c>
      <c r="Z18" s="10" t="s">
        <v>184</v>
      </c>
      <c r="AA18" s="10" t="s">
        <v>184</v>
      </c>
      <c r="AB18" s="83" t="s">
        <v>186</v>
      </c>
      <c r="AC18" s="83" t="s">
        <v>186</v>
      </c>
      <c r="AD18" s="83" t="s">
        <v>186</v>
      </c>
      <c r="AE18" s="81"/>
      <c r="AF18" s="81"/>
      <c r="AG18" s="83" t="s">
        <v>186</v>
      </c>
      <c r="AH18" s="10" t="s">
        <v>184</v>
      </c>
      <c r="AI18" s="83" t="s">
        <v>186</v>
      </c>
      <c r="AJ18" s="10" t="s">
        <v>184</v>
      </c>
    </row>
    <row r="19" spans="2:36">
      <c r="B19" s="7">
        <v>7</v>
      </c>
      <c r="C19" s="7"/>
      <c r="D19" s="56" t="s">
        <v>63</v>
      </c>
      <c r="E19" s="56" t="s">
        <v>51</v>
      </c>
      <c r="F19" s="77">
        <f t="shared" si="0"/>
        <v>0.95</v>
      </c>
      <c r="G19" s="77">
        <f t="shared" si="1"/>
        <v>0.95</v>
      </c>
      <c r="H19" s="78">
        <f t="shared" si="2"/>
        <v>0</v>
      </c>
      <c r="I19" s="78">
        <f t="shared" si="3"/>
        <v>0</v>
      </c>
      <c r="J19" s="78">
        <f t="shared" si="4"/>
        <v>1</v>
      </c>
      <c r="K19" s="79">
        <f t="shared" si="5"/>
        <v>19</v>
      </c>
      <c r="L19" s="9" t="s">
        <v>182</v>
      </c>
      <c r="M19" s="61" t="s">
        <v>183</v>
      </c>
      <c r="N19" s="61" t="s">
        <v>189</v>
      </c>
      <c r="O19" s="60" t="s">
        <v>190</v>
      </c>
      <c r="P19" s="10" t="s">
        <v>184</v>
      </c>
      <c r="Q19" s="10" t="s">
        <v>184</v>
      </c>
      <c r="R19" s="10" t="s">
        <v>184</v>
      </c>
      <c r="S19" s="10" t="s">
        <v>184</v>
      </c>
      <c r="T19" s="10" t="s">
        <v>184</v>
      </c>
      <c r="U19" s="10" t="s">
        <v>184</v>
      </c>
      <c r="V19" s="10" t="s">
        <v>184</v>
      </c>
      <c r="W19" s="10" t="s">
        <v>184</v>
      </c>
      <c r="X19" s="10" t="s">
        <v>184</v>
      </c>
      <c r="Y19" s="10" t="s">
        <v>184</v>
      </c>
      <c r="Z19" s="10" t="s">
        <v>184</v>
      </c>
      <c r="AA19" s="10" t="s">
        <v>184</v>
      </c>
      <c r="AB19" s="10" t="s">
        <v>184</v>
      </c>
      <c r="AC19" s="10" t="s">
        <v>184</v>
      </c>
      <c r="AD19" s="10" t="s">
        <v>184</v>
      </c>
      <c r="AE19" s="81"/>
      <c r="AF19" s="81"/>
      <c r="AG19" s="10" t="s">
        <v>184</v>
      </c>
      <c r="AH19" s="10" t="s">
        <v>184</v>
      </c>
      <c r="AI19" s="10" t="s">
        <v>184</v>
      </c>
      <c r="AJ19" s="10" t="s">
        <v>184</v>
      </c>
    </row>
    <row r="20" spans="2:36">
      <c r="B20" s="7">
        <v>8</v>
      </c>
      <c r="C20" s="7"/>
      <c r="D20" s="56" t="s">
        <v>65</v>
      </c>
      <c r="E20" s="56" t="s">
        <v>51</v>
      </c>
      <c r="F20" s="77">
        <f t="shared" si="0"/>
        <v>0.95</v>
      </c>
      <c r="G20" s="77">
        <f t="shared" si="1"/>
        <v>0.95</v>
      </c>
      <c r="H20" s="78">
        <f t="shared" si="2"/>
        <v>0</v>
      </c>
      <c r="I20" s="78">
        <f t="shared" si="3"/>
        <v>0</v>
      </c>
      <c r="J20" s="78">
        <f t="shared" si="4"/>
        <v>1</v>
      </c>
      <c r="K20" s="79">
        <f t="shared" si="5"/>
        <v>19</v>
      </c>
      <c r="L20" s="9" t="s">
        <v>188</v>
      </c>
      <c r="M20" s="61" t="s">
        <v>189</v>
      </c>
      <c r="N20" s="61"/>
      <c r="O20" s="60" t="s">
        <v>190</v>
      </c>
      <c r="P20" s="10" t="s">
        <v>184</v>
      </c>
      <c r="Q20" s="10" t="s">
        <v>184</v>
      </c>
      <c r="R20" s="10" t="s">
        <v>184</v>
      </c>
      <c r="S20" s="10" t="s">
        <v>184</v>
      </c>
      <c r="T20" s="10" t="s">
        <v>184</v>
      </c>
      <c r="U20" s="10" t="s">
        <v>184</v>
      </c>
      <c r="V20" s="10" t="s">
        <v>184</v>
      </c>
      <c r="W20" s="10" t="s">
        <v>184</v>
      </c>
      <c r="X20" s="10" t="s">
        <v>184</v>
      </c>
      <c r="Y20" s="10" t="s">
        <v>184</v>
      </c>
      <c r="Z20" s="10" t="s">
        <v>184</v>
      </c>
      <c r="AA20" s="10" t="s">
        <v>184</v>
      </c>
      <c r="AB20" s="10" t="s">
        <v>184</v>
      </c>
      <c r="AC20" s="10" t="s">
        <v>184</v>
      </c>
      <c r="AD20" s="10" t="s">
        <v>184</v>
      </c>
      <c r="AE20" s="81"/>
      <c r="AF20" s="81"/>
      <c r="AG20" s="10" t="s">
        <v>184</v>
      </c>
      <c r="AH20" s="10" t="s">
        <v>184</v>
      </c>
      <c r="AI20" s="10" t="s">
        <v>184</v>
      </c>
      <c r="AJ20" s="10" t="s">
        <v>184</v>
      </c>
    </row>
    <row r="21" spans="2:36">
      <c r="B21" s="7">
        <v>9</v>
      </c>
      <c r="C21" s="7"/>
      <c r="D21" s="56" t="s">
        <v>66</v>
      </c>
      <c r="E21" s="56" t="s">
        <v>51</v>
      </c>
      <c r="F21" s="77">
        <f t="shared" si="0"/>
        <v>0.6</v>
      </c>
      <c r="G21" s="77">
        <f t="shared" si="1"/>
        <v>0.6</v>
      </c>
      <c r="H21" s="78">
        <f t="shared" si="2"/>
        <v>4</v>
      </c>
      <c r="I21" s="78">
        <f t="shared" si="3"/>
        <v>0</v>
      </c>
      <c r="J21" s="78">
        <f t="shared" si="4"/>
        <v>4</v>
      </c>
      <c r="K21" s="79">
        <f t="shared" si="5"/>
        <v>12</v>
      </c>
      <c r="L21" s="9" t="s">
        <v>182</v>
      </c>
      <c r="M21" s="61" t="s">
        <v>189</v>
      </c>
      <c r="N21" s="61" t="s">
        <v>189</v>
      </c>
      <c r="O21" s="60" t="s">
        <v>184</v>
      </c>
      <c r="P21" s="10" t="s">
        <v>184</v>
      </c>
      <c r="Q21" s="10" t="s">
        <v>190</v>
      </c>
      <c r="R21" s="10" t="s">
        <v>190</v>
      </c>
      <c r="S21" s="10" t="s">
        <v>184</v>
      </c>
      <c r="T21" s="10" t="s">
        <v>184</v>
      </c>
      <c r="U21" s="75" t="s">
        <v>190</v>
      </c>
      <c r="V21" s="75" t="s">
        <v>190</v>
      </c>
      <c r="W21" s="10" t="s">
        <v>184</v>
      </c>
      <c r="X21" s="10" t="s">
        <v>184</v>
      </c>
      <c r="Y21" s="10" t="s">
        <v>184</v>
      </c>
      <c r="Z21" s="83" t="s">
        <v>186</v>
      </c>
      <c r="AA21" s="10" t="s">
        <v>184</v>
      </c>
      <c r="AB21" s="10" t="s">
        <v>184</v>
      </c>
      <c r="AC21" s="83" t="s">
        <v>186</v>
      </c>
      <c r="AD21" s="83" t="s">
        <v>186</v>
      </c>
      <c r="AE21" s="81"/>
      <c r="AF21" s="81"/>
      <c r="AG21" s="10" t="s">
        <v>184</v>
      </c>
      <c r="AH21" s="10" t="s">
        <v>184</v>
      </c>
      <c r="AI21" s="10" t="s">
        <v>184</v>
      </c>
      <c r="AJ21" s="83" t="s">
        <v>186</v>
      </c>
    </row>
    <row r="22" spans="2:36" s="70" customFormat="1" ht="21.75" customHeight="1">
      <c r="B22" s="22" t="s">
        <v>191</v>
      </c>
      <c r="C22" s="21"/>
      <c r="D22" s="68"/>
      <c r="E22" s="68" t="s">
        <v>192</v>
      </c>
      <c r="F22" s="80"/>
      <c r="G22" s="80"/>
      <c r="H22" s="80"/>
      <c r="I22" s="80"/>
      <c r="J22" s="80"/>
      <c r="K22" s="80"/>
      <c r="L22" s="66"/>
      <c r="M22" s="67"/>
      <c r="N22" s="67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82"/>
      <c r="AF22" s="82"/>
      <c r="AG22" s="69"/>
      <c r="AH22" s="69"/>
      <c r="AI22" s="69"/>
      <c r="AJ22" s="69"/>
    </row>
    <row r="23" spans="2:36">
      <c r="B23" s="7">
        <v>10</v>
      </c>
      <c r="C23" s="7"/>
      <c r="D23" s="56" t="s">
        <v>68</v>
      </c>
      <c r="E23" s="56" t="s">
        <v>69</v>
      </c>
      <c r="F23" s="77">
        <f t="shared" ref="F23:F33" si="6">IF($F$6&gt;0,(K23+I23)/$F$6,0)</f>
        <v>0.9</v>
      </c>
      <c r="G23" s="77">
        <f t="shared" ref="G23:G33" si="7">IF($G$6&gt;0,(K23+I23)/$G$6,0)</f>
        <v>0.9</v>
      </c>
      <c r="H23" s="78">
        <f t="shared" ref="H23:H33" si="8">COUNTIF(O23:AJ23,"L")</f>
        <v>1</v>
      </c>
      <c r="I23" s="78">
        <f t="shared" ref="I23:I33" si="9">COUNTIF(O23:AJ23,"Late")</f>
        <v>1</v>
      </c>
      <c r="J23" s="78">
        <f t="shared" ref="J23:J33" si="10">COUNTIF(O23:AJ23,"Absent")</f>
        <v>1</v>
      </c>
      <c r="K23" s="79">
        <f t="shared" ref="K23:K33" si="11">COUNTIF(O23:AJ23,"A")</f>
        <v>17</v>
      </c>
      <c r="L23" s="9" t="s">
        <v>193</v>
      </c>
      <c r="M23" s="61" t="s">
        <v>194</v>
      </c>
      <c r="N23" s="61" t="s">
        <v>195</v>
      </c>
      <c r="O23" s="60" t="s">
        <v>184</v>
      </c>
      <c r="P23" s="10" t="s">
        <v>184</v>
      </c>
      <c r="Q23" s="10" t="s">
        <v>190</v>
      </c>
      <c r="R23" s="10" t="s">
        <v>184</v>
      </c>
      <c r="S23" s="10" t="s">
        <v>184</v>
      </c>
      <c r="T23" s="10" t="s">
        <v>184</v>
      </c>
      <c r="U23" s="10" t="s">
        <v>184</v>
      </c>
      <c r="V23" s="76" t="s">
        <v>186</v>
      </c>
      <c r="W23" s="10" t="s">
        <v>184</v>
      </c>
      <c r="X23" s="10" t="s">
        <v>184</v>
      </c>
      <c r="Y23" s="10" t="s">
        <v>184</v>
      </c>
      <c r="Z23" s="10" t="s">
        <v>184</v>
      </c>
      <c r="AA23" s="10" t="s">
        <v>184</v>
      </c>
      <c r="AB23" s="10" t="s">
        <v>184</v>
      </c>
      <c r="AC23" s="10" t="s">
        <v>184</v>
      </c>
      <c r="AD23" s="10" t="s">
        <v>196</v>
      </c>
      <c r="AE23" s="81"/>
      <c r="AF23" s="81"/>
      <c r="AG23" s="10" t="s">
        <v>184</v>
      </c>
      <c r="AH23" s="10" t="s">
        <v>184</v>
      </c>
      <c r="AI23" s="10" t="s">
        <v>184</v>
      </c>
      <c r="AJ23" s="10" t="s">
        <v>184</v>
      </c>
    </row>
    <row r="24" spans="2:36">
      <c r="B24" s="7">
        <v>11</v>
      </c>
      <c r="C24" s="7" t="s">
        <v>181</v>
      </c>
      <c r="D24" s="96" t="s">
        <v>70</v>
      </c>
      <c r="E24" s="56" t="s">
        <v>69</v>
      </c>
      <c r="F24" s="77">
        <f t="shared" si="6"/>
        <v>0.95</v>
      </c>
      <c r="G24" s="77">
        <f t="shared" si="7"/>
        <v>0.95</v>
      </c>
      <c r="H24" s="78">
        <f t="shared" si="8"/>
        <v>1</v>
      </c>
      <c r="I24" s="78">
        <f t="shared" si="9"/>
        <v>0</v>
      </c>
      <c r="J24" s="78">
        <f t="shared" si="10"/>
        <v>0</v>
      </c>
      <c r="K24" s="79">
        <f t="shared" si="11"/>
        <v>19</v>
      </c>
      <c r="L24" s="9" t="s">
        <v>193</v>
      </c>
      <c r="M24" s="61" t="s">
        <v>195</v>
      </c>
      <c r="N24" s="61" t="s">
        <v>183</v>
      </c>
      <c r="O24" s="60" t="s">
        <v>184</v>
      </c>
      <c r="P24" s="10" t="s">
        <v>184</v>
      </c>
      <c r="Q24" s="10" t="s">
        <v>184</v>
      </c>
      <c r="R24" s="10" t="s">
        <v>184</v>
      </c>
      <c r="S24" s="10" t="s">
        <v>184</v>
      </c>
      <c r="T24" s="10" t="s">
        <v>184</v>
      </c>
      <c r="U24" s="10" t="s">
        <v>184</v>
      </c>
      <c r="V24" s="10" t="s">
        <v>184</v>
      </c>
      <c r="W24" s="10" t="s">
        <v>184</v>
      </c>
      <c r="X24" s="10" t="s">
        <v>184</v>
      </c>
      <c r="Y24" s="10" t="s">
        <v>184</v>
      </c>
      <c r="Z24" s="10" t="s">
        <v>184</v>
      </c>
      <c r="AA24" s="10" t="s">
        <v>184</v>
      </c>
      <c r="AB24" s="10" t="s">
        <v>184</v>
      </c>
      <c r="AC24" s="10" t="s">
        <v>184</v>
      </c>
      <c r="AD24" s="83" t="s">
        <v>186</v>
      </c>
      <c r="AE24" s="81"/>
      <c r="AF24" s="81"/>
      <c r="AG24" s="10" t="s">
        <v>184</v>
      </c>
      <c r="AH24" s="10" t="s">
        <v>184</v>
      </c>
      <c r="AI24" s="10" t="s">
        <v>184</v>
      </c>
      <c r="AJ24" s="10" t="s">
        <v>184</v>
      </c>
    </row>
    <row r="25" spans="2:36">
      <c r="B25" s="7">
        <v>12</v>
      </c>
      <c r="C25" s="7"/>
      <c r="D25" s="56" t="s">
        <v>72</v>
      </c>
      <c r="E25" s="56" t="s">
        <v>69</v>
      </c>
      <c r="F25" s="77">
        <f t="shared" si="6"/>
        <v>0.9</v>
      </c>
      <c r="G25" s="77">
        <f t="shared" si="7"/>
        <v>0.9</v>
      </c>
      <c r="H25" s="78">
        <f t="shared" si="8"/>
        <v>1</v>
      </c>
      <c r="I25" s="78">
        <f t="shared" si="9"/>
        <v>0</v>
      </c>
      <c r="J25" s="78">
        <f t="shared" si="10"/>
        <v>1</v>
      </c>
      <c r="K25" s="79">
        <f t="shared" si="11"/>
        <v>18</v>
      </c>
      <c r="L25" s="9" t="s">
        <v>193</v>
      </c>
      <c r="M25" s="61" t="s">
        <v>194</v>
      </c>
      <c r="N25" s="61" t="s">
        <v>195</v>
      </c>
      <c r="O25" s="60" t="s">
        <v>184</v>
      </c>
      <c r="P25" s="10" t="s">
        <v>184</v>
      </c>
      <c r="Q25" s="10" t="s">
        <v>184</v>
      </c>
      <c r="R25" s="10" t="s">
        <v>190</v>
      </c>
      <c r="S25" s="10" t="s">
        <v>184</v>
      </c>
      <c r="T25" s="10" t="s">
        <v>184</v>
      </c>
      <c r="U25" s="10" t="s">
        <v>184</v>
      </c>
      <c r="V25" s="10" t="s">
        <v>184</v>
      </c>
      <c r="W25" s="10" t="s">
        <v>184</v>
      </c>
      <c r="X25" s="10" t="s">
        <v>184</v>
      </c>
      <c r="Y25" s="10" t="s">
        <v>184</v>
      </c>
      <c r="Z25" s="10" t="s">
        <v>184</v>
      </c>
      <c r="AA25" s="10" t="s">
        <v>184</v>
      </c>
      <c r="AB25" s="83" t="s">
        <v>186</v>
      </c>
      <c r="AC25" s="10" t="s">
        <v>184</v>
      </c>
      <c r="AD25" s="10" t="s">
        <v>184</v>
      </c>
      <c r="AE25" s="81"/>
      <c r="AF25" s="81"/>
      <c r="AG25" s="10" t="s">
        <v>184</v>
      </c>
      <c r="AH25" s="10" t="s">
        <v>184</v>
      </c>
      <c r="AI25" s="10" t="s">
        <v>184</v>
      </c>
      <c r="AJ25" s="10" t="s">
        <v>184</v>
      </c>
    </row>
    <row r="26" spans="2:36">
      <c r="B26" s="7">
        <v>13</v>
      </c>
      <c r="C26" s="7"/>
      <c r="D26" s="56" t="s">
        <v>73</v>
      </c>
      <c r="E26" s="56" t="s">
        <v>69</v>
      </c>
      <c r="F26" s="77">
        <f t="shared" si="6"/>
        <v>1</v>
      </c>
      <c r="G26" s="77">
        <f t="shared" si="7"/>
        <v>1</v>
      </c>
      <c r="H26" s="78">
        <f t="shared" si="8"/>
        <v>0</v>
      </c>
      <c r="I26" s="78">
        <f t="shared" si="9"/>
        <v>0</v>
      </c>
      <c r="J26" s="78">
        <f t="shared" si="10"/>
        <v>0</v>
      </c>
      <c r="K26" s="79">
        <f t="shared" si="11"/>
        <v>20</v>
      </c>
      <c r="L26" s="9" t="s">
        <v>193</v>
      </c>
      <c r="M26" s="61" t="s">
        <v>194</v>
      </c>
      <c r="N26" s="61"/>
      <c r="O26" s="60" t="s">
        <v>184</v>
      </c>
      <c r="P26" s="10" t="s">
        <v>184</v>
      </c>
      <c r="Q26" s="10" t="s">
        <v>184</v>
      </c>
      <c r="R26" s="10" t="s">
        <v>184</v>
      </c>
      <c r="S26" s="10" t="s">
        <v>184</v>
      </c>
      <c r="T26" s="10" t="s">
        <v>184</v>
      </c>
      <c r="U26" s="10" t="s">
        <v>184</v>
      </c>
      <c r="V26" s="10" t="s">
        <v>184</v>
      </c>
      <c r="W26" s="10" t="s">
        <v>184</v>
      </c>
      <c r="X26" s="10" t="s">
        <v>184</v>
      </c>
      <c r="Y26" s="10" t="s">
        <v>184</v>
      </c>
      <c r="Z26" s="10" t="s">
        <v>184</v>
      </c>
      <c r="AA26" s="10" t="s">
        <v>184</v>
      </c>
      <c r="AB26" s="10" t="s">
        <v>184</v>
      </c>
      <c r="AC26" s="10" t="s">
        <v>184</v>
      </c>
      <c r="AD26" s="10" t="s">
        <v>184</v>
      </c>
      <c r="AE26" s="81"/>
      <c r="AF26" s="81"/>
      <c r="AG26" s="10" t="s">
        <v>184</v>
      </c>
      <c r="AH26" s="10" t="s">
        <v>184</v>
      </c>
      <c r="AI26" s="10" t="s">
        <v>184</v>
      </c>
      <c r="AJ26" s="10" t="s">
        <v>184</v>
      </c>
    </row>
    <row r="27" spans="2:36">
      <c r="B27" s="7">
        <v>14</v>
      </c>
      <c r="C27" s="7"/>
      <c r="D27" s="56" t="s">
        <v>74</v>
      </c>
      <c r="E27" s="56" t="s">
        <v>69</v>
      </c>
      <c r="F27" s="77">
        <f t="shared" si="6"/>
        <v>0.8</v>
      </c>
      <c r="G27" s="77">
        <f t="shared" si="7"/>
        <v>0.8</v>
      </c>
      <c r="H27" s="78">
        <f t="shared" si="8"/>
        <v>2</v>
      </c>
      <c r="I27" s="78">
        <f t="shared" si="9"/>
        <v>0</v>
      </c>
      <c r="J27" s="78">
        <f t="shared" si="10"/>
        <v>2</v>
      </c>
      <c r="K27" s="79">
        <f t="shared" si="11"/>
        <v>16</v>
      </c>
      <c r="L27" s="9" t="s">
        <v>193</v>
      </c>
      <c r="M27" s="61" t="s">
        <v>194</v>
      </c>
      <c r="N27" s="61" t="s">
        <v>195</v>
      </c>
      <c r="O27" s="60" t="s">
        <v>184</v>
      </c>
      <c r="P27" s="10" t="s">
        <v>184</v>
      </c>
      <c r="Q27" s="10" t="s">
        <v>190</v>
      </c>
      <c r="R27" s="10" t="s">
        <v>190</v>
      </c>
      <c r="S27" s="10" t="s">
        <v>184</v>
      </c>
      <c r="T27" s="10" t="s">
        <v>184</v>
      </c>
      <c r="U27" s="10" t="s">
        <v>184</v>
      </c>
      <c r="V27" s="10" t="s">
        <v>184</v>
      </c>
      <c r="W27" s="10" t="s">
        <v>184</v>
      </c>
      <c r="X27" s="10" t="s">
        <v>184</v>
      </c>
      <c r="Y27" s="83" t="s">
        <v>186</v>
      </c>
      <c r="Z27" s="10" t="s">
        <v>184</v>
      </c>
      <c r="AA27" s="10" t="s">
        <v>184</v>
      </c>
      <c r="AB27" s="10" t="s">
        <v>184</v>
      </c>
      <c r="AC27" s="10" t="s">
        <v>184</v>
      </c>
      <c r="AD27" s="10" t="s">
        <v>184</v>
      </c>
      <c r="AE27" s="81"/>
      <c r="AF27" s="81"/>
      <c r="AG27" s="83" t="s">
        <v>186</v>
      </c>
      <c r="AH27" s="10" t="s">
        <v>184</v>
      </c>
      <c r="AI27" s="10" t="s">
        <v>184</v>
      </c>
      <c r="AJ27" s="10" t="s">
        <v>184</v>
      </c>
    </row>
    <row r="28" spans="2:36">
      <c r="B28" s="7">
        <v>15</v>
      </c>
      <c r="C28" s="7"/>
      <c r="D28" s="56" t="s">
        <v>75</v>
      </c>
      <c r="E28" s="56" t="s">
        <v>69</v>
      </c>
      <c r="F28" s="77">
        <f t="shared" si="6"/>
        <v>0.95</v>
      </c>
      <c r="G28" s="77">
        <f t="shared" si="7"/>
        <v>0.95</v>
      </c>
      <c r="H28" s="78">
        <f t="shared" si="8"/>
        <v>1</v>
      </c>
      <c r="I28" s="78">
        <f t="shared" si="9"/>
        <v>0</v>
      </c>
      <c r="J28" s="78">
        <f t="shared" si="10"/>
        <v>0</v>
      </c>
      <c r="K28" s="79">
        <f t="shared" si="11"/>
        <v>19</v>
      </c>
      <c r="L28" s="9" t="s">
        <v>193</v>
      </c>
      <c r="M28" s="61" t="s">
        <v>194</v>
      </c>
      <c r="N28" s="61" t="s">
        <v>183</v>
      </c>
      <c r="O28" s="60" t="s">
        <v>184</v>
      </c>
      <c r="P28" s="10" t="s">
        <v>184</v>
      </c>
      <c r="Q28" s="10" t="s">
        <v>184</v>
      </c>
      <c r="R28" s="10" t="s">
        <v>184</v>
      </c>
      <c r="S28" s="10" t="s">
        <v>184</v>
      </c>
      <c r="T28" s="10" t="s">
        <v>184</v>
      </c>
      <c r="U28" s="10" t="s">
        <v>184</v>
      </c>
      <c r="V28" s="10" t="s">
        <v>184</v>
      </c>
      <c r="W28" s="10" t="s">
        <v>184</v>
      </c>
      <c r="X28" s="10" t="s">
        <v>184</v>
      </c>
      <c r="Y28" s="10" t="s">
        <v>184</v>
      </c>
      <c r="Z28" s="10" t="s">
        <v>184</v>
      </c>
      <c r="AA28" s="10" t="s">
        <v>184</v>
      </c>
      <c r="AB28" s="83" t="s">
        <v>186</v>
      </c>
      <c r="AC28" s="10" t="s">
        <v>184</v>
      </c>
      <c r="AD28" s="10" t="s">
        <v>184</v>
      </c>
      <c r="AE28" s="81"/>
      <c r="AF28" s="81"/>
      <c r="AG28" s="10" t="s">
        <v>184</v>
      </c>
      <c r="AH28" s="10" t="s">
        <v>184</v>
      </c>
      <c r="AI28" s="10" t="s">
        <v>184</v>
      </c>
      <c r="AJ28" s="10" t="s">
        <v>184</v>
      </c>
    </row>
    <row r="29" spans="2:36">
      <c r="B29" s="7">
        <v>16</v>
      </c>
      <c r="C29" s="7"/>
      <c r="D29" s="56" t="s">
        <v>77</v>
      </c>
      <c r="E29" s="56" t="s">
        <v>69</v>
      </c>
      <c r="F29" s="77">
        <f t="shared" si="6"/>
        <v>0.9</v>
      </c>
      <c r="G29" s="77">
        <f t="shared" si="7"/>
        <v>0.9</v>
      </c>
      <c r="H29" s="78">
        <f t="shared" si="8"/>
        <v>1</v>
      </c>
      <c r="I29" s="78">
        <f t="shared" si="9"/>
        <v>1</v>
      </c>
      <c r="J29" s="78">
        <f t="shared" si="10"/>
        <v>1</v>
      </c>
      <c r="K29" s="79">
        <f t="shared" si="11"/>
        <v>17</v>
      </c>
      <c r="L29" s="9" t="s">
        <v>193</v>
      </c>
      <c r="M29" s="61" t="s">
        <v>195</v>
      </c>
      <c r="N29" s="61" t="s">
        <v>195</v>
      </c>
      <c r="O29" s="60" t="s">
        <v>184</v>
      </c>
      <c r="P29" s="10" t="s">
        <v>184</v>
      </c>
      <c r="Q29" s="10" t="s">
        <v>184</v>
      </c>
      <c r="R29" s="10" t="s">
        <v>190</v>
      </c>
      <c r="S29" s="10" t="s">
        <v>184</v>
      </c>
      <c r="T29" s="10" t="s">
        <v>184</v>
      </c>
      <c r="U29" s="10" t="s">
        <v>184</v>
      </c>
      <c r="V29" s="10" t="s">
        <v>184</v>
      </c>
      <c r="W29" s="10" t="s">
        <v>184</v>
      </c>
      <c r="X29" s="10" t="s">
        <v>184</v>
      </c>
      <c r="Y29" s="10" t="s">
        <v>184</v>
      </c>
      <c r="Z29" s="10" t="s">
        <v>184</v>
      </c>
      <c r="AA29" s="10" t="s">
        <v>184</v>
      </c>
      <c r="AB29" s="10" t="s">
        <v>184</v>
      </c>
      <c r="AC29" s="10" t="s">
        <v>184</v>
      </c>
      <c r="AD29" s="10" t="s">
        <v>196</v>
      </c>
      <c r="AE29" s="81"/>
      <c r="AF29" s="81"/>
      <c r="AG29" s="10" t="s">
        <v>184</v>
      </c>
      <c r="AH29" s="10" t="s">
        <v>184</v>
      </c>
      <c r="AI29" s="10" t="s">
        <v>184</v>
      </c>
      <c r="AJ29" s="83" t="s">
        <v>186</v>
      </c>
    </row>
    <row r="30" spans="2:36">
      <c r="B30" s="7">
        <v>17</v>
      </c>
      <c r="C30" s="7"/>
      <c r="D30" s="56" t="s">
        <v>79</v>
      </c>
      <c r="E30" s="56" t="s">
        <v>69</v>
      </c>
      <c r="F30" s="77">
        <f t="shared" si="6"/>
        <v>0.85</v>
      </c>
      <c r="G30" s="77">
        <f t="shared" si="7"/>
        <v>0.85</v>
      </c>
      <c r="H30" s="78">
        <f t="shared" si="8"/>
        <v>3</v>
      </c>
      <c r="I30" s="78">
        <f t="shared" si="9"/>
        <v>0</v>
      </c>
      <c r="J30" s="78">
        <f t="shared" si="10"/>
        <v>0</v>
      </c>
      <c r="K30" s="79">
        <f t="shared" si="11"/>
        <v>17</v>
      </c>
      <c r="L30" s="9" t="s">
        <v>193</v>
      </c>
      <c r="M30" s="61" t="s">
        <v>195</v>
      </c>
      <c r="N30" s="61" t="s">
        <v>183</v>
      </c>
      <c r="O30" s="60" t="s">
        <v>184</v>
      </c>
      <c r="P30" s="10" t="s">
        <v>184</v>
      </c>
      <c r="Q30" s="10" t="s">
        <v>184</v>
      </c>
      <c r="R30" s="10" t="s">
        <v>184</v>
      </c>
      <c r="S30" s="10" t="s">
        <v>184</v>
      </c>
      <c r="T30" s="75" t="s">
        <v>186</v>
      </c>
      <c r="U30" s="10" t="s">
        <v>184</v>
      </c>
      <c r="V30" s="10" t="s">
        <v>184</v>
      </c>
      <c r="W30" s="10" t="s">
        <v>184</v>
      </c>
      <c r="X30" s="83" t="s">
        <v>186</v>
      </c>
      <c r="Y30" s="10" t="s">
        <v>184</v>
      </c>
      <c r="Z30" s="10" t="s">
        <v>184</v>
      </c>
      <c r="AA30" s="10" t="s">
        <v>184</v>
      </c>
      <c r="AB30" s="10" t="s">
        <v>184</v>
      </c>
      <c r="AC30" s="10" t="s">
        <v>184</v>
      </c>
      <c r="AD30" s="83" t="s">
        <v>186</v>
      </c>
      <c r="AE30" s="81"/>
      <c r="AF30" s="81"/>
      <c r="AG30" s="10" t="s">
        <v>184</v>
      </c>
      <c r="AH30" s="10" t="s">
        <v>184</v>
      </c>
      <c r="AI30" s="10" t="s">
        <v>184</v>
      </c>
      <c r="AJ30" s="10" t="s">
        <v>184</v>
      </c>
    </row>
    <row r="31" spans="2:36">
      <c r="B31" s="7">
        <v>18</v>
      </c>
      <c r="C31" s="7"/>
      <c r="D31" s="56" t="s">
        <v>80</v>
      </c>
      <c r="E31" s="56" t="s">
        <v>69</v>
      </c>
      <c r="F31" s="77">
        <f t="shared" si="6"/>
        <v>0.85</v>
      </c>
      <c r="G31" s="77">
        <f t="shared" si="7"/>
        <v>0.85</v>
      </c>
      <c r="H31" s="78">
        <f t="shared" si="8"/>
        <v>1</v>
      </c>
      <c r="I31" s="78">
        <f t="shared" si="9"/>
        <v>0</v>
      </c>
      <c r="J31" s="78">
        <f t="shared" si="10"/>
        <v>2</v>
      </c>
      <c r="K31" s="79">
        <f t="shared" si="11"/>
        <v>17</v>
      </c>
      <c r="L31" s="9" t="s">
        <v>197</v>
      </c>
      <c r="M31" s="61" t="s">
        <v>195</v>
      </c>
      <c r="N31" s="61" t="s">
        <v>195</v>
      </c>
      <c r="O31" s="60" t="s">
        <v>190</v>
      </c>
      <c r="P31" s="10" t="s">
        <v>190</v>
      </c>
      <c r="Q31" s="10" t="s">
        <v>184</v>
      </c>
      <c r="R31" s="10" t="s">
        <v>184</v>
      </c>
      <c r="S31" s="10" t="s">
        <v>184</v>
      </c>
      <c r="T31" s="10" t="s">
        <v>184</v>
      </c>
      <c r="U31" s="10" t="s">
        <v>184</v>
      </c>
      <c r="V31" s="10" t="s">
        <v>184</v>
      </c>
      <c r="W31" s="10" t="s">
        <v>184</v>
      </c>
      <c r="X31" s="10" t="s">
        <v>184</v>
      </c>
      <c r="Y31" s="10" t="s">
        <v>184</v>
      </c>
      <c r="Z31" s="10" t="s">
        <v>184</v>
      </c>
      <c r="AA31" s="10" t="s">
        <v>184</v>
      </c>
      <c r="AB31" s="10" t="s">
        <v>184</v>
      </c>
      <c r="AC31" s="10" t="s">
        <v>184</v>
      </c>
      <c r="AD31" s="10" t="s">
        <v>184</v>
      </c>
      <c r="AE31" s="81"/>
      <c r="AF31" s="81"/>
      <c r="AG31" s="10" t="s">
        <v>184</v>
      </c>
      <c r="AH31" s="10" t="s">
        <v>184</v>
      </c>
      <c r="AI31" s="83" t="s">
        <v>186</v>
      </c>
      <c r="AJ31" s="10" t="s">
        <v>184</v>
      </c>
    </row>
    <row r="32" spans="2:36">
      <c r="B32" s="7">
        <v>19</v>
      </c>
      <c r="C32" s="7"/>
      <c r="D32" s="56" t="s">
        <v>82</v>
      </c>
      <c r="E32" s="56" t="s">
        <v>69</v>
      </c>
      <c r="F32" s="77">
        <f t="shared" si="6"/>
        <v>0.85</v>
      </c>
      <c r="G32" s="77">
        <f t="shared" si="7"/>
        <v>0.85</v>
      </c>
      <c r="H32" s="78">
        <f t="shared" si="8"/>
        <v>3</v>
      </c>
      <c r="I32" s="78">
        <f t="shared" si="9"/>
        <v>0</v>
      </c>
      <c r="J32" s="78">
        <f t="shared" si="10"/>
        <v>0</v>
      </c>
      <c r="K32" s="79">
        <f t="shared" si="11"/>
        <v>17</v>
      </c>
      <c r="L32" s="9" t="s">
        <v>193</v>
      </c>
      <c r="M32" s="61" t="s">
        <v>194</v>
      </c>
      <c r="N32" s="61" t="s">
        <v>195</v>
      </c>
      <c r="O32" s="60" t="s">
        <v>186</v>
      </c>
      <c r="P32" s="75" t="s">
        <v>186</v>
      </c>
      <c r="Q32" s="10" t="s">
        <v>184</v>
      </c>
      <c r="R32" s="10" t="s">
        <v>184</v>
      </c>
      <c r="S32" s="10" t="s">
        <v>184</v>
      </c>
      <c r="T32" s="10" t="s">
        <v>184</v>
      </c>
      <c r="U32" s="10" t="s">
        <v>184</v>
      </c>
      <c r="V32" s="10" t="s">
        <v>184</v>
      </c>
      <c r="W32" s="10" t="s">
        <v>184</v>
      </c>
      <c r="X32" s="10" t="s">
        <v>184</v>
      </c>
      <c r="Y32" s="83" t="s">
        <v>186</v>
      </c>
      <c r="Z32" s="10" t="s">
        <v>184</v>
      </c>
      <c r="AA32" s="10" t="s">
        <v>184</v>
      </c>
      <c r="AB32" s="10" t="s">
        <v>184</v>
      </c>
      <c r="AC32" s="10" t="s">
        <v>184</v>
      </c>
      <c r="AD32" s="10" t="s">
        <v>184</v>
      </c>
      <c r="AE32" s="81"/>
      <c r="AF32" s="81"/>
      <c r="AG32" s="10" t="s">
        <v>184</v>
      </c>
      <c r="AH32" s="10" t="s">
        <v>184</v>
      </c>
      <c r="AI32" s="10" t="s">
        <v>184</v>
      </c>
      <c r="AJ32" s="10" t="s">
        <v>184</v>
      </c>
    </row>
    <row r="33" spans="2:36" ht="13.5" thickBot="1">
      <c r="B33" s="7">
        <v>20</v>
      </c>
      <c r="C33" s="7"/>
      <c r="D33" s="56" t="s">
        <v>83</v>
      </c>
      <c r="E33" s="56" t="s">
        <v>69</v>
      </c>
      <c r="F33" s="77">
        <f t="shared" si="6"/>
        <v>0.7</v>
      </c>
      <c r="G33" s="77">
        <f t="shared" si="7"/>
        <v>0.7</v>
      </c>
      <c r="H33" s="78">
        <f t="shared" si="8"/>
        <v>3</v>
      </c>
      <c r="I33" s="78">
        <f t="shared" si="9"/>
        <v>0</v>
      </c>
      <c r="J33" s="78">
        <f t="shared" si="10"/>
        <v>3</v>
      </c>
      <c r="K33" s="79">
        <f t="shared" si="11"/>
        <v>14</v>
      </c>
      <c r="L33" s="62" t="str">
        <f>VLOOKUP(D33,BJS!$C$12:$F$31,2, FALSE)</f>
        <v/>
      </c>
      <c r="M33" s="63" t="s">
        <v>194</v>
      </c>
      <c r="N33" s="63" t="s">
        <v>195</v>
      </c>
      <c r="O33" s="60" t="s">
        <v>184</v>
      </c>
      <c r="P33" s="10" t="s">
        <v>190</v>
      </c>
      <c r="Q33" s="10" t="s">
        <v>190</v>
      </c>
      <c r="R33" s="10" t="s">
        <v>190</v>
      </c>
      <c r="S33" s="10" t="s">
        <v>184</v>
      </c>
      <c r="T33" s="10" t="s">
        <v>184</v>
      </c>
      <c r="U33" s="10" t="s">
        <v>184</v>
      </c>
      <c r="V33" s="76" t="s">
        <v>186</v>
      </c>
      <c r="W33" s="10" t="s">
        <v>184</v>
      </c>
      <c r="X33" s="83" t="s">
        <v>186</v>
      </c>
      <c r="Y33" s="10" t="s">
        <v>184</v>
      </c>
      <c r="Z33" s="10" t="s">
        <v>184</v>
      </c>
      <c r="AA33" s="10" t="s">
        <v>184</v>
      </c>
      <c r="AB33" s="83" t="s">
        <v>186</v>
      </c>
      <c r="AC33" s="10" t="s">
        <v>184</v>
      </c>
      <c r="AD33" s="10" t="s">
        <v>184</v>
      </c>
      <c r="AE33" s="81"/>
      <c r="AF33" s="81"/>
      <c r="AG33" s="10" t="s">
        <v>184</v>
      </c>
      <c r="AH33" s="10" t="s">
        <v>184</v>
      </c>
      <c r="AI33" s="10" t="s">
        <v>184</v>
      </c>
      <c r="AJ33" s="10" t="s">
        <v>184</v>
      </c>
    </row>
  </sheetData>
  <mergeCells count="21">
    <mergeCell ref="B10:B11"/>
    <mergeCell ref="C10:C11"/>
    <mergeCell ref="D10:D11"/>
    <mergeCell ref="F10:F11"/>
    <mergeCell ref="G10:G11"/>
    <mergeCell ref="E10:E11"/>
    <mergeCell ref="AE9:AF9"/>
    <mergeCell ref="AI9:AJ9"/>
    <mergeCell ref="N10:N11"/>
    <mergeCell ref="N4:O4"/>
    <mergeCell ref="N5:O5"/>
    <mergeCell ref="L10:M10"/>
    <mergeCell ref="H10:H11"/>
    <mergeCell ref="I10:I11"/>
    <mergeCell ref="J10:J11"/>
    <mergeCell ref="K10:K11"/>
    <mergeCell ref="G6:G7"/>
    <mergeCell ref="F6:F7"/>
    <mergeCell ref="B4:D5"/>
    <mergeCell ref="B6:D7"/>
    <mergeCell ref="F4:G4"/>
  </mergeCells>
  <conditionalFormatting sqref="B15:B16">
    <cfRule type="duplicateValues" dxfId="13" priority="2"/>
  </conditionalFormatting>
  <conditionalFormatting sqref="B17:C20 B23:C26">
    <cfRule type="duplicateValues" dxfId="12" priority="34"/>
  </conditionalFormatting>
  <conditionalFormatting sqref="B27:C32 B21:C21">
    <cfRule type="duplicateValues" dxfId="11" priority="13"/>
  </conditionalFormatting>
  <conditionalFormatting sqref="B33:C33">
    <cfRule type="duplicateValues" dxfId="10" priority="8"/>
  </conditionalFormatting>
  <conditionalFormatting sqref="B13:E21">
    <cfRule type="expression" dxfId="9" priority="24">
      <formula>$AF13="Resigned"</formula>
    </cfRule>
    <cfRule type="expression" dxfId="8" priority="25">
      <formula>$AF13="Have Applied"</formula>
    </cfRule>
  </conditionalFormatting>
  <conditionalFormatting sqref="B23:E33">
    <cfRule type="expression" dxfId="7" priority="6">
      <formula>$AF23="Resigned"</formula>
    </cfRule>
    <cfRule type="expression" dxfId="6" priority="7">
      <formula>$AF23="Have Applied"</formula>
    </cfRule>
  </conditionalFormatting>
  <conditionalFormatting sqref="F13:K21">
    <cfRule type="expression" dxfId="5" priority="14">
      <formula>$AD13="Resigned"</formula>
    </cfRule>
    <cfRule type="expression" dxfId="4" priority="15">
      <formula>$AD13="Have Applied"</formula>
    </cfRule>
  </conditionalFormatting>
  <conditionalFormatting sqref="F23:K33">
    <cfRule type="expression" dxfId="3" priority="4">
      <formula>$AD23="Resigned"</formula>
    </cfRule>
    <cfRule type="expression" dxfId="2" priority="5">
      <formula>$AD23="Have Applied"</formula>
    </cfRule>
  </conditionalFormatting>
  <conditionalFormatting sqref="L10 L11:M11">
    <cfRule type="containsText" dxfId="1" priority="23" stopIfTrue="1" operator="containsText" text="Resigned">
      <formula>NOT(ISERROR(SEARCH("Resigned",L10)))</formula>
    </cfRule>
  </conditionalFormatting>
  <conditionalFormatting sqref="N10">
    <cfRule type="containsText" dxfId="0" priority="1" stopIfTrue="1" operator="containsText" text="Resigned">
      <formula>NOT(ISERROR(SEARCH("Resigned",N10)))</formula>
    </cfRule>
  </conditionalFormatting>
  <dataValidations disablePrompts="1" count="1">
    <dataValidation type="list" allowBlank="1" showInputMessage="1" showErrorMessage="1" sqref="O13:AJ21 O23:AJ33" xr:uid="{00000000-0002-0000-0100-000000000000}">
      <formula1>"A, L, Late, Absent"</formula1>
    </dataValidation>
  </dataValidations>
  <hyperlinks>
    <hyperlink ref="E22" r:id="rId1" xr:uid="{9251F9E7-1971-4F72-A569-041953CB638F}"/>
  </hyperlinks>
  <pageMargins left="0.7" right="0.7" top="0.75" bottom="0.75" header="0.3" footer="0.3"/>
  <ignoredErrors>
    <ignoredError sqref="H13:K20 H23:K26 H21:K21 H27:K33 G6" emptyCellReferenc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519EE-3281-4088-9CEC-D4D9955E665A}">
  <sheetPr filterMode="1">
    <pageSetUpPr fitToPage="1"/>
  </sheetPr>
  <dimension ref="A1:L39"/>
  <sheetViews>
    <sheetView showGridLines="0" zoomScale="70" zoomScaleNormal="70" workbookViewId="0">
      <selection activeCell="D12" sqref="D12"/>
    </sheetView>
  </sheetViews>
  <sheetFormatPr defaultColWidth="9.1640625" defaultRowHeight="18.75"/>
  <cols>
    <col min="1" max="1" width="9.1640625" style="24" customWidth="1"/>
    <col min="2" max="2" width="12.6640625" style="46" customWidth="1"/>
    <col min="3" max="3" width="31.6640625" style="47" bestFit="1" customWidth="1"/>
    <col min="4" max="4" width="22" style="24" customWidth="1"/>
    <col min="5" max="6" width="23" style="24" customWidth="1"/>
    <col min="7" max="7" width="31.1640625" style="24" customWidth="1"/>
    <col min="8" max="8" width="35.1640625" style="48" customWidth="1"/>
    <col min="9" max="9" width="37.83203125" style="33" customWidth="1"/>
    <col min="10" max="10" width="50" style="33" customWidth="1"/>
    <col min="11" max="11" width="45.6640625" style="33" customWidth="1"/>
    <col min="12" max="12" width="25.6640625" style="33" customWidth="1"/>
    <col min="13" max="16384" width="9.1640625" style="24"/>
  </cols>
  <sheetData>
    <row r="1" spans="1:12" ht="41.45" customHeight="1">
      <c r="A1" s="226"/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</row>
    <row r="2" spans="1:12" ht="41.45" customHeight="1">
      <c r="A2" s="226" t="s">
        <v>198</v>
      </c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</row>
    <row r="3" spans="1:12" ht="41.45" customHeight="1">
      <c r="A3" s="226" t="s">
        <v>199</v>
      </c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</row>
    <row r="4" spans="1:12" ht="22.5">
      <c r="A4" s="25"/>
      <c r="B4" s="54" t="s">
        <v>189</v>
      </c>
      <c r="C4" s="26">
        <f>COUNTIFS($E$12:$E$31, B4)</f>
        <v>3</v>
      </c>
      <c r="D4" s="25"/>
      <c r="E4" s="25"/>
      <c r="F4" s="25"/>
      <c r="G4" s="25"/>
      <c r="H4" s="25"/>
      <c r="I4" s="25"/>
      <c r="J4" s="25"/>
      <c r="K4" s="25"/>
      <c r="L4" s="25"/>
    </row>
    <row r="5" spans="1:12" ht="22.5">
      <c r="A5" s="23"/>
      <c r="B5" s="54" t="s">
        <v>183</v>
      </c>
      <c r="C5" s="26">
        <f>COUNTIFS($E$12:$E$31, B5)</f>
        <v>6</v>
      </c>
      <c r="D5" s="23"/>
      <c r="E5" s="23"/>
      <c r="F5" s="23"/>
      <c r="G5" s="23"/>
      <c r="H5" s="23"/>
      <c r="I5" s="23"/>
      <c r="J5" s="23"/>
      <c r="K5" s="23"/>
      <c r="L5" s="23"/>
    </row>
    <row r="6" spans="1:12" ht="22.5">
      <c r="A6" s="23"/>
      <c r="B6" s="54" t="s">
        <v>195</v>
      </c>
      <c r="C6" s="26">
        <f>COUNTIFS($E$12:$E$31, B6)</f>
        <v>4</v>
      </c>
      <c r="D6" s="23"/>
      <c r="E6" s="23"/>
      <c r="F6" s="23"/>
      <c r="G6" s="23"/>
      <c r="H6" s="23"/>
      <c r="I6" s="23"/>
      <c r="J6" s="23"/>
      <c r="K6" s="23"/>
      <c r="L6" s="23"/>
    </row>
    <row r="7" spans="1:12" ht="22.5">
      <c r="A7" s="23"/>
      <c r="B7" s="54" t="s">
        <v>194</v>
      </c>
      <c r="C7" s="26">
        <f>COUNTIFS($E$12:$E$31, B7)</f>
        <v>6</v>
      </c>
      <c r="D7" s="23"/>
      <c r="E7" s="23"/>
      <c r="F7" s="23"/>
      <c r="G7" s="23"/>
      <c r="H7" s="23"/>
      <c r="I7" s="23"/>
      <c r="J7" s="23"/>
      <c r="K7" s="23"/>
      <c r="L7" s="23"/>
    </row>
    <row r="8" spans="1:12" ht="22.5">
      <c r="A8" s="23"/>
      <c r="B8" s="54" t="s">
        <v>200</v>
      </c>
      <c r="C8" s="26">
        <v>1</v>
      </c>
      <c r="D8" s="23"/>
      <c r="E8" s="23"/>
      <c r="F8" s="23"/>
      <c r="G8" s="23"/>
      <c r="H8" s="23"/>
      <c r="I8" s="23"/>
      <c r="J8" s="23"/>
      <c r="K8" s="23"/>
      <c r="L8" s="23"/>
    </row>
    <row r="9" spans="1:12" ht="22.5">
      <c r="A9" s="23"/>
      <c r="B9" s="54" t="s">
        <v>134</v>
      </c>
      <c r="C9" s="55">
        <f>SUM(C4:C8)</f>
        <v>20</v>
      </c>
      <c r="D9" s="23"/>
      <c r="E9" s="23"/>
      <c r="F9" s="23"/>
      <c r="G9" s="23"/>
      <c r="H9" s="23"/>
      <c r="I9" s="23"/>
      <c r="J9" s="23"/>
      <c r="K9" s="23"/>
      <c r="L9" s="23"/>
    </row>
    <row r="10" spans="1:12" ht="23.25" thickBo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</row>
    <row r="11" spans="1:12" s="27" customFormat="1" ht="46.5" customHeight="1" thickBot="1">
      <c r="A11" s="50" t="s">
        <v>201</v>
      </c>
      <c r="B11" s="227" t="s">
        <v>22</v>
      </c>
      <c r="C11" s="228"/>
      <c r="D11" s="52" t="s">
        <v>202</v>
      </c>
      <c r="E11" s="52" t="s">
        <v>24</v>
      </c>
      <c r="F11" s="52" t="s">
        <v>23</v>
      </c>
      <c r="G11" s="52" t="s">
        <v>203</v>
      </c>
      <c r="H11" s="52" t="s">
        <v>204</v>
      </c>
      <c r="I11" s="52" t="s">
        <v>205</v>
      </c>
      <c r="J11" s="52" t="s">
        <v>25</v>
      </c>
      <c r="K11" s="51" t="s">
        <v>206</v>
      </c>
      <c r="L11" s="53" t="s">
        <v>207</v>
      </c>
    </row>
    <row r="12" spans="1:12" s="33" customFormat="1">
      <c r="A12" s="28">
        <v>1</v>
      </c>
      <c r="B12" s="29" t="s">
        <v>208</v>
      </c>
      <c r="C12" s="30" t="s">
        <v>50</v>
      </c>
      <c r="D12" s="26" t="s">
        <v>182</v>
      </c>
      <c r="E12" s="26" t="s">
        <v>183</v>
      </c>
      <c r="F12" s="26" t="s">
        <v>51</v>
      </c>
      <c r="G12" s="229" t="s">
        <v>209</v>
      </c>
      <c r="H12" s="30" t="s">
        <v>210</v>
      </c>
      <c r="I12" s="30" t="s">
        <v>211</v>
      </c>
      <c r="J12" s="30" t="s">
        <v>212</v>
      </c>
      <c r="K12" s="31" t="s">
        <v>213</v>
      </c>
      <c r="L12" s="32" t="s">
        <v>214</v>
      </c>
    </row>
    <row r="13" spans="1:12" s="33" customFormat="1">
      <c r="A13" s="34">
        <v>2</v>
      </c>
      <c r="B13" s="29" t="s">
        <v>215</v>
      </c>
      <c r="C13" s="30" t="s">
        <v>54</v>
      </c>
      <c r="D13" s="26" t="s">
        <v>185</v>
      </c>
      <c r="E13" s="26" t="s">
        <v>183</v>
      </c>
      <c r="F13" s="26" t="s">
        <v>51</v>
      </c>
      <c r="G13" s="224"/>
      <c r="H13" s="30" t="s">
        <v>216</v>
      </c>
      <c r="I13" s="30" t="s">
        <v>217</v>
      </c>
      <c r="J13" s="30" t="s">
        <v>212</v>
      </c>
      <c r="K13" s="31" t="s">
        <v>218</v>
      </c>
      <c r="L13" s="30" t="s">
        <v>219</v>
      </c>
    </row>
    <row r="14" spans="1:12" s="33" customFormat="1">
      <c r="A14" s="34">
        <v>3</v>
      </c>
      <c r="B14" s="29" t="s">
        <v>215</v>
      </c>
      <c r="C14" s="30" t="s">
        <v>56</v>
      </c>
      <c r="D14" s="26" t="s">
        <v>188</v>
      </c>
      <c r="E14" s="26" t="s">
        <v>189</v>
      </c>
      <c r="F14" s="26" t="s">
        <v>51</v>
      </c>
      <c r="G14" s="224"/>
      <c r="H14" s="30" t="s">
        <v>220</v>
      </c>
      <c r="I14" s="30" t="s">
        <v>221</v>
      </c>
      <c r="J14" s="30" t="s">
        <v>222</v>
      </c>
      <c r="K14" s="31" t="s">
        <v>223</v>
      </c>
      <c r="L14" s="35" t="s">
        <v>224</v>
      </c>
    </row>
    <row r="15" spans="1:12" s="33" customFormat="1">
      <c r="A15" s="34">
        <v>4</v>
      </c>
      <c r="B15" s="29" t="s">
        <v>215</v>
      </c>
      <c r="C15" s="30" t="s">
        <v>58</v>
      </c>
      <c r="D15" s="26" t="s">
        <v>185</v>
      </c>
      <c r="E15" s="26" t="s">
        <v>183</v>
      </c>
      <c r="F15" s="26" t="s">
        <v>51</v>
      </c>
      <c r="G15" s="224"/>
      <c r="H15" s="30" t="s">
        <v>225</v>
      </c>
      <c r="I15" s="30" t="s">
        <v>226</v>
      </c>
      <c r="J15" s="30" t="s">
        <v>222</v>
      </c>
      <c r="K15" s="31" t="s">
        <v>227</v>
      </c>
      <c r="L15" s="36" t="s">
        <v>228</v>
      </c>
    </row>
    <row r="16" spans="1:12" s="33" customFormat="1" ht="22.5" customHeight="1">
      <c r="A16" s="34">
        <v>5</v>
      </c>
      <c r="B16" s="29" t="s">
        <v>208</v>
      </c>
      <c r="C16" s="30" t="s">
        <v>59</v>
      </c>
      <c r="D16" s="26" t="s">
        <v>182</v>
      </c>
      <c r="E16" s="26" t="s">
        <v>183</v>
      </c>
      <c r="F16" s="26" t="s">
        <v>51</v>
      </c>
      <c r="G16" s="224"/>
      <c r="H16" s="37" t="s">
        <v>229</v>
      </c>
      <c r="I16" s="37" t="s">
        <v>230</v>
      </c>
      <c r="J16" s="30" t="s">
        <v>222</v>
      </c>
      <c r="K16" s="38" t="s">
        <v>231</v>
      </c>
      <c r="L16" s="39" t="s">
        <v>232</v>
      </c>
    </row>
    <row r="17" spans="1:12" s="33" customFormat="1">
      <c r="A17" s="34">
        <v>6</v>
      </c>
      <c r="B17" s="29" t="s">
        <v>208</v>
      </c>
      <c r="C17" s="30" t="s">
        <v>61</v>
      </c>
      <c r="D17" s="26" t="s">
        <v>182</v>
      </c>
      <c r="E17" s="26" t="s">
        <v>183</v>
      </c>
      <c r="F17" s="26" t="s">
        <v>51</v>
      </c>
      <c r="G17" s="224"/>
      <c r="H17" s="37" t="s">
        <v>233</v>
      </c>
      <c r="I17" s="37" t="s">
        <v>211</v>
      </c>
      <c r="J17" s="30" t="s">
        <v>222</v>
      </c>
      <c r="K17" s="38" t="s">
        <v>234</v>
      </c>
      <c r="L17" s="39" t="s">
        <v>235</v>
      </c>
    </row>
    <row r="18" spans="1:12" s="40" customFormat="1">
      <c r="A18" s="34">
        <v>7</v>
      </c>
      <c r="B18" s="29" t="s">
        <v>215</v>
      </c>
      <c r="C18" s="30" t="s">
        <v>63</v>
      </c>
      <c r="D18" s="26" t="s">
        <v>182</v>
      </c>
      <c r="E18" s="26" t="s">
        <v>183</v>
      </c>
      <c r="F18" s="26" t="s">
        <v>51</v>
      </c>
      <c r="G18" s="224"/>
      <c r="H18" s="37" t="s">
        <v>233</v>
      </c>
      <c r="I18" s="37" t="s">
        <v>236</v>
      </c>
      <c r="J18" s="30" t="s">
        <v>222</v>
      </c>
      <c r="K18" s="38" t="s">
        <v>237</v>
      </c>
      <c r="L18" s="39" t="s">
        <v>238</v>
      </c>
    </row>
    <row r="19" spans="1:12" s="33" customFormat="1">
      <c r="A19" s="34">
        <v>8</v>
      </c>
      <c r="B19" s="29" t="s">
        <v>215</v>
      </c>
      <c r="C19" s="30" t="s">
        <v>65</v>
      </c>
      <c r="D19" s="26" t="s">
        <v>188</v>
      </c>
      <c r="E19" s="26" t="s">
        <v>189</v>
      </c>
      <c r="F19" s="26" t="s">
        <v>51</v>
      </c>
      <c r="G19" s="225"/>
      <c r="H19" s="37" t="s">
        <v>233</v>
      </c>
      <c r="I19" s="37" t="s">
        <v>221</v>
      </c>
      <c r="J19" s="37" t="s">
        <v>222</v>
      </c>
      <c r="K19" s="38" t="s">
        <v>239</v>
      </c>
      <c r="L19" s="39" t="s">
        <v>240</v>
      </c>
    </row>
    <row r="20" spans="1:12" s="33" customFormat="1" hidden="1">
      <c r="A20" s="34">
        <v>9</v>
      </c>
      <c r="B20" s="29" t="s">
        <v>208</v>
      </c>
      <c r="C20" s="30" t="s">
        <v>68</v>
      </c>
      <c r="D20" s="26" t="s">
        <v>193</v>
      </c>
      <c r="E20" s="26" t="s">
        <v>194</v>
      </c>
      <c r="F20" s="26" t="s">
        <v>69</v>
      </c>
      <c r="G20" s="223" t="s">
        <v>241</v>
      </c>
      <c r="H20" s="30" t="s">
        <v>216</v>
      </c>
      <c r="I20" s="30" t="s">
        <v>221</v>
      </c>
      <c r="J20" s="30" t="s">
        <v>212</v>
      </c>
      <c r="K20" s="31" t="s">
        <v>242</v>
      </c>
      <c r="L20" s="36" t="s">
        <v>243</v>
      </c>
    </row>
    <row r="21" spans="1:12" s="33" customFormat="1" hidden="1">
      <c r="A21" s="34">
        <v>10</v>
      </c>
      <c r="B21" s="41" t="s">
        <v>208</v>
      </c>
      <c r="C21" s="30" t="s">
        <v>70</v>
      </c>
      <c r="D21" s="26" t="s">
        <v>193</v>
      </c>
      <c r="E21" s="26" t="s">
        <v>195</v>
      </c>
      <c r="F21" s="26" t="s">
        <v>69</v>
      </c>
      <c r="G21" s="224"/>
      <c r="H21" s="37" t="s">
        <v>244</v>
      </c>
      <c r="I21" s="37" t="s">
        <v>245</v>
      </c>
      <c r="J21" s="30" t="s">
        <v>212</v>
      </c>
      <c r="K21" s="38" t="s">
        <v>246</v>
      </c>
      <c r="L21" s="37" t="s">
        <v>247</v>
      </c>
    </row>
    <row r="22" spans="1:12" s="33" customFormat="1" ht="21.75" hidden="1" customHeight="1">
      <c r="A22" s="34">
        <v>11</v>
      </c>
      <c r="B22" s="29" t="s">
        <v>248</v>
      </c>
      <c r="C22" s="30" t="s">
        <v>72</v>
      </c>
      <c r="D22" s="26" t="s">
        <v>193</v>
      </c>
      <c r="E22" s="26" t="s">
        <v>194</v>
      </c>
      <c r="F22" s="26" t="s">
        <v>69</v>
      </c>
      <c r="G22" s="224"/>
      <c r="H22" s="37" t="s">
        <v>244</v>
      </c>
      <c r="I22" s="30" t="s">
        <v>230</v>
      </c>
      <c r="J22" s="30" t="s">
        <v>212</v>
      </c>
      <c r="K22" s="38" t="s">
        <v>249</v>
      </c>
      <c r="L22" s="37" t="s">
        <v>250</v>
      </c>
    </row>
    <row r="23" spans="1:12" s="33" customFormat="1" hidden="1">
      <c r="A23" s="34">
        <v>12</v>
      </c>
      <c r="B23" s="42" t="s">
        <v>215</v>
      </c>
      <c r="C23" s="30" t="s">
        <v>73</v>
      </c>
      <c r="D23" s="26" t="s">
        <v>193</v>
      </c>
      <c r="E23" s="26" t="s">
        <v>194</v>
      </c>
      <c r="F23" s="26" t="s">
        <v>69</v>
      </c>
      <c r="G23" s="224"/>
      <c r="H23" s="37" t="s">
        <v>244</v>
      </c>
      <c r="I23" s="30" t="s">
        <v>230</v>
      </c>
      <c r="J23" s="30" t="s">
        <v>212</v>
      </c>
      <c r="K23" s="31" t="s">
        <v>251</v>
      </c>
      <c r="L23" s="32" t="s">
        <v>252</v>
      </c>
    </row>
    <row r="24" spans="1:12" s="33" customFormat="1" hidden="1">
      <c r="A24" s="34">
        <v>13</v>
      </c>
      <c r="B24" s="29" t="s">
        <v>215</v>
      </c>
      <c r="C24" s="30" t="s">
        <v>74</v>
      </c>
      <c r="D24" s="26" t="s">
        <v>193</v>
      </c>
      <c r="E24" s="26" t="s">
        <v>194</v>
      </c>
      <c r="F24" s="26" t="s">
        <v>69</v>
      </c>
      <c r="G24" s="224"/>
      <c r="H24" s="37" t="s">
        <v>244</v>
      </c>
      <c r="I24" s="37" t="s">
        <v>253</v>
      </c>
      <c r="J24" s="30" t="s">
        <v>212</v>
      </c>
      <c r="K24" s="38" t="s">
        <v>254</v>
      </c>
      <c r="L24" s="37" t="s">
        <v>255</v>
      </c>
    </row>
    <row r="25" spans="1:12" s="33" customFormat="1" hidden="1">
      <c r="A25" s="34">
        <v>14</v>
      </c>
      <c r="B25" s="29" t="s">
        <v>215</v>
      </c>
      <c r="C25" s="30" t="s">
        <v>75</v>
      </c>
      <c r="D25" s="26" t="s">
        <v>193</v>
      </c>
      <c r="E25" s="26" t="s">
        <v>194</v>
      </c>
      <c r="F25" s="26" t="s">
        <v>69</v>
      </c>
      <c r="G25" s="224"/>
      <c r="H25" s="30" t="s">
        <v>210</v>
      </c>
      <c r="I25" s="37" t="s">
        <v>256</v>
      </c>
      <c r="J25" s="30" t="s">
        <v>212</v>
      </c>
      <c r="K25" s="38" t="s">
        <v>257</v>
      </c>
      <c r="L25" s="37" t="s">
        <v>258</v>
      </c>
    </row>
    <row r="26" spans="1:12" ht="20.25" customHeight="1">
      <c r="A26" s="34">
        <v>15</v>
      </c>
      <c r="B26" s="29" t="s">
        <v>215</v>
      </c>
      <c r="C26" s="30" t="s">
        <v>66</v>
      </c>
      <c r="D26" s="26" t="s">
        <v>182</v>
      </c>
      <c r="E26" s="26" t="s">
        <v>189</v>
      </c>
      <c r="F26" s="26" t="s">
        <v>51</v>
      </c>
      <c r="G26" s="224"/>
      <c r="H26" s="37" t="s">
        <v>244</v>
      </c>
      <c r="I26" s="37" t="s">
        <v>221</v>
      </c>
      <c r="J26" s="30" t="s">
        <v>212</v>
      </c>
      <c r="K26" s="43" t="s">
        <v>259</v>
      </c>
      <c r="L26" s="37" t="s">
        <v>260</v>
      </c>
    </row>
    <row r="27" spans="1:12" hidden="1">
      <c r="A27" s="34">
        <v>16</v>
      </c>
      <c r="B27" s="29" t="s">
        <v>215</v>
      </c>
      <c r="C27" s="30" t="s">
        <v>77</v>
      </c>
      <c r="D27" s="26" t="s">
        <v>193</v>
      </c>
      <c r="E27" s="26" t="s">
        <v>195</v>
      </c>
      <c r="F27" s="26" t="s">
        <v>69</v>
      </c>
      <c r="G27" s="224"/>
      <c r="H27" s="37" t="s">
        <v>233</v>
      </c>
      <c r="I27" s="30" t="s">
        <v>221</v>
      </c>
      <c r="J27" s="30" t="s">
        <v>222</v>
      </c>
      <c r="K27" s="31" t="s">
        <v>261</v>
      </c>
      <c r="L27" s="36" t="s">
        <v>262</v>
      </c>
    </row>
    <row r="28" spans="1:12" ht="19.5" hidden="1" customHeight="1">
      <c r="A28" s="34">
        <v>17</v>
      </c>
      <c r="B28" s="29" t="s">
        <v>215</v>
      </c>
      <c r="C28" s="30" t="s">
        <v>79</v>
      </c>
      <c r="D28" s="26" t="s">
        <v>193</v>
      </c>
      <c r="E28" s="26" t="s">
        <v>195</v>
      </c>
      <c r="F28" s="26" t="s">
        <v>69</v>
      </c>
      <c r="G28" s="224"/>
      <c r="H28" s="37" t="s">
        <v>233</v>
      </c>
      <c r="I28" s="37" t="s">
        <v>256</v>
      </c>
      <c r="J28" s="30" t="s">
        <v>222</v>
      </c>
      <c r="K28" s="38" t="s">
        <v>263</v>
      </c>
      <c r="L28" s="39" t="s">
        <v>264</v>
      </c>
    </row>
    <row r="29" spans="1:12" hidden="1">
      <c r="A29" s="34">
        <v>18</v>
      </c>
      <c r="B29" s="29" t="s">
        <v>208</v>
      </c>
      <c r="C29" s="30" t="s">
        <v>80</v>
      </c>
      <c r="D29" s="26" t="s">
        <v>197</v>
      </c>
      <c r="E29" s="26" t="s">
        <v>195</v>
      </c>
      <c r="F29" s="26" t="s">
        <v>69</v>
      </c>
      <c r="G29" s="224"/>
      <c r="H29" s="37" t="s">
        <v>265</v>
      </c>
      <c r="I29" s="37" t="s">
        <v>217</v>
      </c>
      <c r="J29" s="30" t="s">
        <v>222</v>
      </c>
      <c r="K29" s="38" t="s">
        <v>266</v>
      </c>
      <c r="L29" s="39" t="s">
        <v>267</v>
      </c>
    </row>
    <row r="30" spans="1:12" ht="21" hidden="1" customHeight="1">
      <c r="A30" s="34">
        <v>19</v>
      </c>
      <c r="B30" s="42" t="s">
        <v>215</v>
      </c>
      <c r="C30" s="30" t="s">
        <v>82</v>
      </c>
      <c r="D30" s="26" t="s">
        <v>193</v>
      </c>
      <c r="E30" s="26" t="s">
        <v>194</v>
      </c>
      <c r="F30" s="26" t="s">
        <v>69</v>
      </c>
      <c r="G30" s="224"/>
      <c r="H30" s="37" t="s">
        <v>268</v>
      </c>
      <c r="I30" s="30" t="s">
        <v>269</v>
      </c>
      <c r="J30" s="30" t="s">
        <v>222</v>
      </c>
      <c r="K30" s="31" t="s">
        <v>270</v>
      </c>
      <c r="L30" s="44" t="s">
        <v>271</v>
      </c>
    </row>
    <row r="31" spans="1:12" ht="20.25" hidden="1" customHeight="1">
      <c r="A31" s="34">
        <v>20</v>
      </c>
      <c r="B31" s="29" t="s">
        <v>248</v>
      </c>
      <c r="C31" s="30" t="s">
        <v>83</v>
      </c>
      <c r="D31" s="26" t="s">
        <v>193</v>
      </c>
      <c r="E31" s="26" t="s">
        <v>193</v>
      </c>
      <c r="F31" s="26" t="s">
        <v>69</v>
      </c>
      <c r="G31" s="225"/>
      <c r="H31" s="37" t="s">
        <v>229</v>
      </c>
      <c r="I31" s="30" t="s">
        <v>269</v>
      </c>
      <c r="J31" s="30" t="s">
        <v>222</v>
      </c>
      <c r="K31" s="38" t="s">
        <v>272</v>
      </c>
      <c r="L31" s="39" t="s">
        <v>273</v>
      </c>
    </row>
    <row r="32" spans="1:12" ht="33" customHeight="1">
      <c r="A32" s="45"/>
      <c r="D32" s="45"/>
      <c r="E32" s="45"/>
      <c r="F32" s="45"/>
      <c r="G32" s="45"/>
      <c r="I32" s="49"/>
      <c r="J32" s="49"/>
      <c r="K32" s="49"/>
      <c r="L32" s="49"/>
    </row>
    <row r="33" spans="1:12" ht="33" customHeight="1">
      <c r="A33" s="45"/>
      <c r="D33" s="45"/>
      <c r="E33" s="45"/>
      <c r="F33" s="45"/>
      <c r="G33" s="45"/>
      <c r="I33" s="49"/>
      <c r="J33" s="49"/>
      <c r="K33" s="49"/>
      <c r="L33" s="49"/>
    </row>
    <row r="34" spans="1:12" ht="33" customHeight="1">
      <c r="A34" s="45"/>
      <c r="D34" s="45"/>
      <c r="E34" s="45"/>
      <c r="F34" s="45"/>
      <c r="G34" s="45"/>
      <c r="I34" s="49"/>
      <c r="J34" s="49"/>
      <c r="K34" s="49"/>
      <c r="L34" s="49"/>
    </row>
    <row r="35" spans="1:12" ht="33" customHeight="1">
      <c r="A35" s="45"/>
      <c r="D35" s="45"/>
      <c r="E35" s="45"/>
      <c r="F35" s="45"/>
      <c r="G35" s="45"/>
      <c r="I35" s="49"/>
      <c r="J35" s="49"/>
      <c r="K35" s="49"/>
      <c r="L35" s="49"/>
    </row>
    <row r="36" spans="1:12" ht="33" customHeight="1">
      <c r="A36" s="45"/>
      <c r="D36" s="45"/>
      <c r="E36" s="45"/>
      <c r="F36" s="45"/>
      <c r="G36" s="45"/>
      <c r="I36" s="49"/>
      <c r="J36" s="49"/>
      <c r="K36" s="49"/>
      <c r="L36" s="49"/>
    </row>
    <row r="37" spans="1:12" ht="33" customHeight="1">
      <c r="A37" s="45"/>
      <c r="D37" s="45"/>
      <c r="E37" s="45"/>
      <c r="F37" s="45"/>
      <c r="G37" s="45"/>
      <c r="I37" s="49"/>
      <c r="J37" s="49"/>
      <c r="K37" s="49"/>
      <c r="L37" s="49"/>
    </row>
    <row r="38" spans="1:12" ht="33" customHeight="1">
      <c r="A38" s="45"/>
      <c r="D38" s="45"/>
      <c r="E38" s="45"/>
      <c r="F38" s="45"/>
      <c r="G38" s="45"/>
      <c r="I38" s="49"/>
      <c r="J38" s="49"/>
      <c r="K38" s="49"/>
      <c r="L38" s="49"/>
    </row>
    <row r="39" spans="1:12" ht="33" customHeight="1">
      <c r="A39" s="45"/>
      <c r="D39" s="45"/>
      <c r="E39" s="45"/>
      <c r="F39" s="45"/>
      <c r="G39" s="45"/>
      <c r="I39" s="49"/>
      <c r="J39" s="49"/>
      <c r="K39" s="49"/>
      <c r="L39" s="49"/>
    </row>
  </sheetData>
  <autoFilter ref="A11:L31" xr:uid="{8F0DADF0-99EC-46CB-80B0-1619B3FF3F54}">
    <filterColumn colId="1" showButton="0"/>
    <filterColumn colId="5">
      <filters>
        <filter val="Group1"/>
      </filters>
    </filterColumn>
  </autoFilter>
  <mergeCells count="6">
    <mergeCell ref="G20:G31"/>
    <mergeCell ref="A1:L1"/>
    <mergeCell ref="A2:L2"/>
    <mergeCell ref="A3:L3"/>
    <mergeCell ref="B11:C11"/>
    <mergeCell ref="G12:G19"/>
  </mergeCells>
  <hyperlinks>
    <hyperlink ref="K12" r:id="rId1" xr:uid="{0B22D44A-B49F-41CF-824F-0F524C24BB6B}"/>
    <hyperlink ref="K13" r:id="rId2" xr:uid="{1ADC415E-3DC6-412F-81F2-30D2E09EA02E}"/>
    <hyperlink ref="K20" r:id="rId3" xr:uid="{441AE25E-FDC1-4EC4-AFFB-1AA730F2595F}"/>
    <hyperlink ref="K21" r:id="rId4" xr:uid="{13EE4EC1-DB8A-4168-AF90-11887E9E1CBE}"/>
    <hyperlink ref="K22" r:id="rId5" xr:uid="{9E64752A-6A8F-4F8E-A0E5-0F06878A298A}"/>
    <hyperlink ref="K23" r:id="rId6" xr:uid="{409F030A-AC2D-4083-B98D-80793ED8888D}"/>
    <hyperlink ref="K24" r:id="rId7" xr:uid="{E1B729CD-04C4-402E-9AC3-98964A69A117}"/>
    <hyperlink ref="K25" r:id="rId8" xr:uid="{990FD6F7-B3CD-44BF-90DC-F02FC13A1B1B}"/>
    <hyperlink ref="K26" r:id="rId9" xr:uid="{06B7D76A-52FF-4726-8B22-1AED1342F292}"/>
    <hyperlink ref="K14" r:id="rId10" xr:uid="{4826548F-0317-4062-8800-D6805BC47FC0}"/>
    <hyperlink ref="K15" r:id="rId11" xr:uid="{B71652C1-AF13-490C-B998-4B809A5891CD}"/>
    <hyperlink ref="K27" r:id="rId12" xr:uid="{C9A7C9F3-6E4B-4A2F-861E-D8134D018952}"/>
    <hyperlink ref="K28" r:id="rId13" xr:uid="{0A8E3024-4907-4EAF-9224-E92C2D7289F9}"/>
    <hyperlink ref="K29" r:id="rId14" xr:uid="{507693CF-F4BE-4C43-BC65-450248118C56}"/>
    <hyperlink ref="K30" r:id="rId15" xr:uid="{F227B453-8876-4049-8B05-4D1D4036368A}"/>
    <hyperlink ref="K16" r:id="rId16" xr:uid="{659CE662-7437-4951-85BE-69CA41E92032}"/>
    <hyperlink ref="K31" r:id="rId17" xr:uid="{EB2C23EA-7F96-4651-B045-E64ACF04962E}"/>
    <hyperlink ref="K17" r:id="rId18" xr:uid="{CE7CF387-29A8-4C16-8F94-64D9848274B3}"/>
    <hyperlink ref="K18" r:id="rId19" xr:uid="{3B16F860-583B-4912-BD16-471D6B5A283B}"/>
    <hyperlink ref="K19" r:id="rId20" xr:uid="{7F54503D-885D-4A77-82C7-4E62CE2A9357}"/>
  </hyperlinks>
  <printOptions horizontalCentered="1" verticalCentered="1"/>
  <pageMargins left="0.2" right="0.2" top="0.25" bottom="0.25" header="0.3" footer="0.3"/>
  <pageSetup paperSize="9" scale="37" orientation="landscape" verticalDpi="0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ＫｈｉｎｅＴｈｉｒｉ Ｗｉｎ/DIRビジネスパートナー部</dc:creator>
  <cp:keywords/>
  <dc:description/>
  <cp:lastModifiedBy/>
  <cp:revision/>
  <dcterms:created xsi:type="dcterms:W3CDTF">2025-07-24T08:44:00Z</dcterms:created>
  <dcterms:modified xsi:type="dcterms:W3CDTF">2026-03-24T06:40:22Z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FDA9A0686B314915B514EFCBDFF20F82_12</vt:lpwstr>
  </property>
  <property fmtid="{D5CDD505-2E9C-101B-9397-08002B2CF9AE}" pid="3" name="KSOProductBuildVer">
    <vt:lpwstr>1033-12.2.0.23131</vt:lpwstr>
  </property>
</Properties>
</file>